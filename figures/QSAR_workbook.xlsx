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drawings/drawing20.xml" ContentType="application/vnd.openxmlformats-officedocument.drawing+xml"/>
  <Override PartName="/xl/worksheets/sheet24.xml" ContentType="application/vnd.openxmlformats-officedocument.spreadsheetml.worksheet+xml"/>
  <Override PartName="/xl/drawings/drawing21.xml" ContentType="application/vnd.openxmlformats-officedocument.drawing+xml"/>
  <Override PartName="/xl/worksheets/sheet25.xml" ContentType="application/vnd.openxmlformats-officedocument.spreadsheetml.worksheet+xml"/>
  <Override PartName="/xl/drawings/drawing22.xml" ContentType="application/vnd.openxmlformats-officedocument.drawing+xml"/>
  <Override PartName="/xl/worksheets/sheet26.xml" ContentType="application/vnd.openxmlformats-officedocument.spreadsheetml.worksheet+xml"/>
  <Override PartName="/xl/drawings/drawing23.xml" ContentType="application/vnd.openxmlformats-officedocument.drawing+xml"/>
  <Override PartName="/xl/worksheets/sheet27.xml" ContentType="application/vnd.openxmlformats-officedocument.spreadsheetml.worksheet+xml"/>
  <Override PartName="/xl/drawings/drawing24.xml" ContentType="application/vnd.openxmlformats-officedocument.drawing+xml"/>
  <Override PartName="/xl/worksheets/sheet28.xml" ContentType="application/vnd.openxmlformats-officedocument.spreadsheetml.worksheet+xml"/>
  <Override PartName="/xl/drawings/drawing25.xml" ContentType="application/vnd.openxmlformats-officedocument.drawing+xml"/>
  <Override PartName="/xl/worksheets/sheet29.xml" ContentType="application/vnd.openxmlformats-officedocument.spreadsheetml.worksheet+xml"/>
  <Override PartName="/xl/drawings/drawing26.xml" ContentType="application/vnd.openxmlformats-officedocument.drawing+xml"/>
  <Override PartName="/xl/worksheets/sheet30.xml" ContentType="application/vnd.openxmlformats-officedocument.spreadsheetml.worksheet+xml"/>
  <Override PartName="/xl/drawings/drawing27.xml" ContentType="application/vnd.openxmlformats-officedocument.drawing+xml"/>
  <Override PartName="/xl/worksheets/sheet31.xml" ContentType="application/vnd.openxmlformats-officedocument.spreadsheetml.worksheet+xml"/>
  <Override PartName="/xl/drawings/drawing28.xml" ContentType="application/vnd.openxmlformats-officedocument.drawing+xml"/>
  <Override PartName="/xl/worksheets/sheet32.xml" ContentType="application/vnd.openxmlformats-officedocument.spreadsheetml.worksheet+xml"/>
  <Override PartName="/xl/drawings/drawing29.xml" ContentType="application/vnd.openxmlformats-officedocument.drawing+xml"/>
  <Override PartName="/xl/worksheets/sheet33.xml" ContentType="application/vnd.openxmlformats-officedocument.spreadsheetml.worksheet+xml"/>
  <Override PartName="/xl/drawings/drawing30.xml" ContentType="application/vnd.openxmlformats-officedocument.drawing+xml"/>
  <Override PartName="/xl/worksheets/sheet34.xml" ContentType="application/vnd.openxmlformats-officedocument.spreadsheetml.worksheet+xml"/>
  <Override PartName="/xl/drawings/drawing31.xml" ContentType="application/vnd.openxmlformats-officedocument.drawing+xml"/>
  <Override PartName="/xl/worksheets/sheet35.xml" ContentType="application/vnd.openxmlformats-officedocument.spreadsheetml.worksheet+xml"/>
  <Override PartName="/xl/drawings/drawing32.xml" ContentType="application/vnd.openxmlformats-officedocument.drawing+xml"/>
  <Override PartName="/xl/worksheets/sheet36.xml" ContentType="application/vnd.openxmlformats-officedocument.spreadsheetml.worksheet+xml"/>
  <Override PartName="/xl/drawings/drawing33.xml" ContentType="application/vnd.openxmlformats-officedocument.drawing+xml"/>
  <Override PartName="/xl/worksheets/sheet37.xml" ContentType="application/vnd.openxmlformats-officedocument.spreadsheetml.worksheet+xml"/>
  <Override PartName="/xl/drawings/drawing34.xml" ContentType="application/vnd.openxmlformats-officedocument.drawing+xml"/>
  <Override PartName="/xl/worksheets/sheet38.xml" ContentType="application/vnd.openxmlformats-officedocument.spreadsheetml.worksheet+xml"/>
  <Override PartName="/xl/drawings/drawing35.xml" ContentType="application/vnd.openxmlformats-officedocument.drawing+xml"/>
  <Override PartName="/xl/worksheets/sheet39.xml" ContentType="application/vnd.openxmlformats-officedocument.spreadsheetml.worksheet+xml"/>
  <Override PartName="/xl/drawings/drawing36.xml" ContentType="application/vnd.openxmlformats-officedocument.drawing+xml"/>
  <Override PartName="/xl/worksheets/sheet40.xml" ContentType="application/vnd.openxmlformats-officedocument.spreadsheetml.worksheet+xml"/>
  <Override PartName="/xl/drawings/drawing37.xml" ContentType="application/vnd.openxmlformats-officedocument.drawing+xml"/>
  <Override PartName="/xl/worksheets/sheet41.xml" ContentType="application/vnd.openxmlformats-officedocument.spreadsheetml.worksheet+xml"/>
  <Override PartName="/xl/drawings/drawing38.xml" ContentType="application/vnd.openxmlformats-officedocument.drawing+xml"/>
  <Override PartName="/xl/worksheets/sheet42.xml" ContentType="application/vnd.openxmlformats-officedocument.spreadsheetml.worksheet+xml"/>
  <Override PartName="/xl/drawings/drawing39.xml" ContentType="application/vnd.openxmlformats-officedocument.drawing+xml"/>
  <Override PartName="/xl/worksheets/sheet43.xml" ContentType="application/vnd.openxmlformats-officedocument.spreadsheetml.worksheet+xml"/>
  <Override PartName="/xl/drawings/drawing40.xml" ContentType="application/vnd.openxmlformats-officedocument.drawing+xml"/>
  <Override PartName="/xl/worksheets/sheet44.xml" ContentType="application/vnd.openxmlformats-officedocument.spreadsheetml.worksheet+xml"/>
  <Override PartName="/xl/drawings/drawing41.xml" ContentType="application/vnd.openxmlformats-officedocument.drawing+xml"/>
  <Override PartName="/xl/worksheets/sheet45.xml" ContentType="application/vnd.openxmlformats-officedocument.spreadsheetml.worksheet+xml"/>
  <Override PartName="/xl/drawings/drawing42.xml" ContentType="application/vnd.openxmlformats-officedocument.drawing+xml"/>
  <Override PartName="/xl/worksheets/sheet46.xml" ContentType="application/vnd.openxmlformats-officedocument.spreadsheetml.worksheet+xml"/>
  <Override PartName="/xl/drawings/drawing43.xml" ContentType="application/vnd.openxmlformats-officedocument.drawing+xml"/>
  <Override PartName="/xl/worksheets/sheet47.xml" ContentType="application/vnd.openxmlformats-officedocument.spreadsheetml.worksheet+xml"/>
  <Override PartName="/xl/drawings/drawing44.xml" ContentType="application/vnd.openxmlformats-officedocument.drawing+xml"/>
  <Override PartName="/xl/worksheets/sheet48.xml" ContentType="application/vnd.openxmlformats-officedocument.spreadsheetml.worksheet+xml"/>
  <Override PartName="/xl/drawings/drawing45.xml" ContentType="application/vnd.openxmlformats-officedocument.drawing+xml"/>
  <Override PartName="/xl/worksheets/sheet49.xml" ContentType="application/vnd.openxmlformats-officedocument.spreadsheetml.worksheet+xml"/>
  <Override PartName="/xl/drawings/drawing46.xml" ContentType="application/vnd.openxmlformats-officedocument.drawing+xml"/>
  <Override PartName="/xl/worksheets/sheet50.xml" ContentType="application/vnd.openxmlformats-officedocument.spreadsheetml.worksheet+xml"/>
  <Override PartName="/xl/drawings/drawing47.xml" ContentType="application/vnd.openxmlformats-officedocument.drawing+xml"/>
  <Override PartName="/xl/worksheets/sheet51.xml" ContentType="application/vnd.openxmlformats-officedocument.spreadsheetml.worksheet+xml"/>
  <Override PartName="/xl/drawings/drawing48.xml" ContentType="application/vnd.openxmlformats-officedocument.drawing+xml"/>
  <Override PartName="/xl/worksheets/sheet52.xml" ContentType="application/vnd.openxmlformats-officedocument.spreadsheetml.worksheet+xml"/>
  <Override PartName="/xl/drawings/drawing49.xml" ContentType="application/vnd.openxmlformats-officedocument.drawing+xml"/>
  <Override PartName="/xl/worksheets/sheet53.xml" ContentType="application/vnd.openxmlformats-officedocument.spreadsheetml.worksheet+xml"/>
  <Override PartName="/xl/drawings/drawing50.xml" ContentType="application/vnd.openxmlformats-officedocument.drawing+xml"/>
  <Override PartName="/xl/worksheets/sheet54.xml" ContentType="application/vnd.openxmlformats-officedocument.spreadsheetml.worksheet+xml"/>
  <Override PartName="/xl/drawings/drawing51.xml" ContentType="application/vnd.openxmlformats-officedocument.drawing+xml"/>
  <Override PartName="/xl/worksheets/sheet55.xml" ContentType="application/vnd.openxmlformats-officedocument.spreadsheetml.worksheet+xml"/>
  <Override PartName="/xl/drawings/drawing52.xml" ContentType="application/vnd.openxmlformats-officedocument.drawing+xml"/>
  <Override PartName="/xl/worksheets/sheet56.xml" ContentType="application/vnd.openxmlformats-officedocument.spreadsheetml.worksheet+xml"/>
  <Override PartName="/xl/drawings/drawing53.xml" ContentType="application/vnd.openxmlformats-officedocument.drawing+xml"/>
  <Override PartName="/xl/worksheets/sheet57.xml" ContentType="application/vnd.openxmlformats-officedocument.spreadsheetml.worksheet+xml"/>
  <Override PartName="/xl/drawings/drawing54.xml" ContentType="application/vnd.openxmlformats-officedocument.drawing+xml"/>
  <Override PartName="/xl/worksheets/sheet58.xml" ContentType="application/vnd.openxmlformats-officedocument.spreadsheetml.worksheet+xml"/>
  <Override PartName="/xl/drawings/drawing55.xml" ContentType="application/vnd.openxmlformats-officedocument.drawing+xml"/>
  <Override PartName="/xl/worksheets/sheet59.xml" ContentType="application/vnd.openxmlformats-officedocument.spreadsheetml.worksheet+xml"/>
  <Override PartName="/xl/drawings/drawing56.xml" ContentType="application/vnd.openxmlformats-officedocument.drawing+xml"/>
  <Override PartName="/xl/worksheets/sheet60.xml" ContentType="application/vnd.openxmlformats-officedocument.spreadsheetml.worksheet+xml"/>
  <Override PartName="/xl/drawings/drawing57.xml" ContentType="application/vnd.openxmlformats-officedocument.drawing+xml"/>
  <Override PartName="/xl/worksheets/sheet61.xml" ContentType="application/vnd.openxmlformats-officedocument.spreadsheetml.worksheet+xml"/>
  <Override PartName="/xl/drawings/drawing58.xml" ContentType="application/vnd.openxmlformats-officedocument.drawing+xml"/>
  <Override PartName="/xl/worksheets/sheet62.xml" ContentType="application/vnd.openxmlformats-officedocument.spreadsheetml.worksheet+xml"/>
  <Override PartName="/xl/drawings/drawing59.xml" ContentType="application/vnd.openxmlformats-officedocument.drawing+xml"/>
  <Override PartName="/xl/worksheets/sheet63.xml" ContentType="application/vnd.openxmlformats-officedocument.spreadsheetml.worksheet+xml"/>
  <Override PartName="/xl/drawings/drawing60.xml" ContentType="application/vnd.openxmlformats-officedocument.drawing+xml"/>
  <Override PartName="/xl/worksheets/sheet64.xml" ContentType="application/vnd.openxmlformats-officedocument.spreadsheetml.worksheet+xml"/>
  <Override PartName="/xl/drawings/drawing61.xml" ContentType="application/vnd.openxmlformats-officedocument.drawing+xml"/>
  <Override PartName="/xl/worksheets/sheet65.xml" ContentType="application/vnd.openxmlformats-officedocument.spreadsheetml.worksheet+xml"/>
  <Override PartName="/xl/drawings/drawing62.xml" ContentType="application/vnd.openxmlformats-officedocument.drawing+xml"/>
  <Override PartName="/xl/worksheets/sheet66.xml" ContentType="application/vnd.openxmlformats-officedocument.spreadsheetml.worksheet+xml"/>
  <Override PartName="/xl/drawings/drawing63.xml" ContentType="application/vnd.openxmlformats-officedocument.drawing+xml"/>
  <Override PartName="/xl/worksheets/sheet67.xml" ContentType="application/vnd.openxmlformats-officedocument.spreadsheetml.worksheet+xml"/>
  <Override PartName="/xl/drawings/drawing64.xml" ContentType="application/vnd.openxmlformats-officedocument.drawing+xml"/>
  <Override PartName="/xl/worksheets/sheet68.xml" ContentType="application/vnd.openxmlformats-officedocument.spreadsheetml.worksheet+xml"/>
  <Override PartName="/xl/drawings/drawing65.xml" ContentType="application/vnd.openxmlformats-officedocument.drawing+xml"/>
  <Override PartName="/xl/worksheets/sheet69.xml" ContentType="application/vnd.openxmlformats-officedocument.spreadsheetml.worksheet+xml"/>
  <Override PartName="/xl/drawings/drawing66.xml" ContentType="application/vnd.openxmlformats-officedocument.drawing+xml"/>
  <Override PartName="/xl/worksheets/sheet70.xml" ContentType="application/vnd.openxmlformats-officedocument.spreadsheetml.worksheet+xml"/>
  <Override PartName="/xl/drawings/drawing67.xml" ContentType="application/vnd.openxmlformats-officedocument.drawing+xml"/>
  <Override PartName="/xl/worksheets/sheet71.xml" ContentType="application/vnd.openxmlformats-officedocument.spreadsheetml.worksheet+xml"/>
  <Override PartName="/xl/drawings/drawing68.xml" ContentType="application/vnd.openxmlformats-officedocument.drawing+xml"/>
  <Override PartName="/xl/worksheets/sheet72.xml" ContentType="application/vnd.openxmlformats-officedocument.spreadsheetml.worksheet+xml"/>
  <Override PartName="/xl/drawings/drawing6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B3gas 01 dG rad_red" sheetId="4" state="visible" r:id="rId4"/>
    <sheet xmlns:r="http://schemas.openxmlformats.org/officeDocument/2006/relationships" name="B3gas 02 dG RA_2e_any" sheetId="5" state="visible" r:id="rId5"/>
    <sheet xmlns:r="http://schemas.openxmlformats.org/officeDocument/2006/relationships" name="B3gas 03 dG frag_any" sheetId="6" state="visible" r:id="rId6"/>
    <sheet xmlns:r="http://schemas.openxmlformats.org/officeDocument/2006/relationships" name="B3gas 04 LUMO_RA" sheetId="7" state="visible" r:id="rId7"/>
    <sheet xmlns:r="http://schemas.openxmlformats.org/officeDocument/2006/relationships" name="B3gas 05 dG 2e_carbanion" sheetId="8" state="visible" r:id="rId8"/>
    <sheet xmlns:r="http://schemas.openxmlformats.org/officeDocument/2006/relationships" name="B3gas 06 n_X" sheetId="9" state="visible" r:id="rId9"/>
    <sheet xmlns:r="http://schemas.openxmlformats.org/officeDocument/2006/relationships" name="B3gas 07 dG ET_any" sheetId="10" state="visible" r:id="rId10"/>
    <sheet xmlns:r="http://schemas.openxmlformats.org/officeDocument/2006/relationships" name="B3gas 08 wiberg_CX_parent" sheetId="11" state="visible" r:id="rId11"/>
    <sheet xmlns:r="http://schemas.openxmlformats.org/officeDocument/2006/relationships" name="B3gas 09 LUMO" sheetId="12" state="visible" r:id="rId12"/>
    <sheet xmlns:r="http://schemas.openxmlformats.org/officeDocument/2006/relationships" name="B3gas 10 VEA" sheetId="13" state="visible" r:id="rId13"/>
    <sheet xmlns:r="http://schemas.openxmlformats.org/officeDocument/2006/relationships" name="B3gas 11 dG 2e_HDH" sheetId="14" state="visible" r:id="rId14"/>
    <sheet xmlns:r="http://schemas.openxmlformats.org/officeDocument/2006/relationships" name="B3gas 12 omega_dSCF" sheetId="15" state="visible" r:id="rId15"/>
    <sheet xmlns:r="http://schemas.openxmlformats.org/officeDocument/2006/relationships" name="B3gas 13 dG 1e" sheetId="16" state="visible" r:id="rId16"/>
    <sheet xmlns:r="http://schemas.openxmlformats.org/officeDocument/2006/relationships" name="B3gas 14 BDE" sheetId="17" state="visible" r:id="rId17"/>
    <sheet xmlns:r="http://schemas.openxmlformats.org/officeDocument/2006/relationships" name="B3gas 15 dr_CX_RA" sheetId="18" state="visible" r:id="rId18"/>
    <sheet xmlns:r="http://schemas.openxmlformats.org/officeDocument/2006/relationships" name="B3gas 16 fplus_CX" sheetId="19" state="visible" r:id="rId19"/>
    <sheet xmlns:r="http://schemas.openxmlformats.org/officeDocument/2006/relationships" name="B3SMD 01 dG rad_red" sheetId="20" state="visible" r:id="rId20"/>
    <sheet xmlns:r="http://schemas.openxmlformats.org/officeDocument/2006/relationships" name="B3SMD 02 dG RA_2e_any" sheetId="21" state="visible" r:id="rId21"/>
    <sheet xmlns:r="http://schemas.openxmlformats.org/officeDocument/2006/relationships" name="B3SMD 03 wiberg_CX_parent" sheetId="22" state="visible" r:id="rId22"/>
    <sheet xmlns:r="http://schemas.openxmlformats.org/officeDocument/2006/relationships" name="B3SMD 04 n_X" sheetId="23" state="visible" r:id="rId23"/>
    <sheet xmlns:r="http://schemas.openxmlformats.org/officeDocument/2006/relationships" name="B3SMD 05 LUMO" sheetId="24" state="visible" r:id="rId24"/>
    <sheet xmlns:r="http://schemas.openxmlformats.org/officeDocument/2006/relationships" name="B3SMD 06 dG 2e_carbanion" sheetId="25" state="visible" r:id="rId25"/>
    <sheet xmlns:r="http://schemas.openxmlformats.org/officeDocument/2006/relationships" name="B3SMD 07 dG frag_any" sheetId="26" state="visible" r:id="rId26"/>
    <sheet xmlns:r="http://schemas.openxmlformats.org/officeDocument/2006/relationships" name="B3SMD 08 dG0_act_concerted" sheetId="27" state="visible" r:id="rId27"/>
    <sheet xmlns:r="http://schemas.openxmlformats.org/officeDocument/2006/relationships" name="B3SMD 09 dG 2e_HDH" sheetId="28" state="visible" r:id="rId28"/>
    <sheet xmlns:r="http://schemas.openxmlformats.org/officeDocument/2006/relationships" name="B3SMD 10 dG act_concerted" sheetId="29" state="visible" r:id="rId29"/>
    <sheet xmlns:r="http://schemas.openxmlformats.org/officeDocument/2006/relationships" name="B3SMD 11 LUMO_RA" sheetId="30" state="visible" r:id="rId30"/>
    <sheet xmlns:r="http://schemas.openxmlformats.org/officeDocument/2006/relationships" name="B3SMD 12 dG ET_any" sheetId="31" state="visible" r:id="rId31"/>
    <sheet xmlns:r="http://schemas.openxmlformats.org/officeDocument/2006/relationships" name="B3SMD 13 VEA" sheetId="32" state="visible" r:id="rId32"/>
    <sheet xmlns:r="http://schemas.openxmlformats.org/officeDocument/2006/relationships" name="B3SMD 14 omega_dSCF" sheetId="33" state="visible" r:id="rId33"/>
    <sheet xmlns:r="http://schemas.openxmlformats.org/officeDocument/2006/relationships" name="B3SMD 15 dG 1e" sheetId="34" state="visible" r:id="rId34"/>
    <sheet xmlns:r="http://schemas.openxmlformats.org/officeDocument/2006/relationships" name="B3SMD 16 BDE" sheetId="35" state="visible" r:id="rId35"/>
    <sheet xmlns:r="http://schemas.openxmlformats.org/officeDocument/2006/relationships" name="B3SMD 17 dr_CX_RA" sheetId="36" state="visible" r:id="rId36"/>
    <sheet xmlns:r="http://schemas.openxmlformats.org/officeDocument/2006/relationships" name="B3SMD 18 fplus_CX" sheetId="37" state="visible" r:id="rId37"/>
    <sheet xmlns:r="http://schemas.openxmlformats.org/officeDocument/2006/relationships" name="M6gas 01 dG rad_red" sheetId="38" state="visible" r:id="rId38"/>
    <sheet xmlns:r="http://schemas.openxmlformats.org/officeDocument/2006/relationships" name="M6gas 02 dG RA_2e_any" sheetId="39" state="visible" r:id="rId39"/>
    <sheet xmlns:r="http://schemas.openxmlformats.org/officeDocument/2006/relationships" name="M6gas 03 dG frag_any" sheetId="40" state="visible" r:id="rId40"/>
    <sheet xmlns:r="http://schemas.openxmlformats.org/officeDocument/2006/relationships" name="M6gas 04 dG 2e_carbanion" sheetId="41" state="visible" r:id="rId41"/>
    <sheet xmlns:r="http://schemas.openxmlformats.org/officeDocument/2006/relationships" name="M6gas 05 dG ET_any" sheetId="42" state="visible" r:id="rId42"/>
    <sheet xmlns:r="http://schemas.openxmlformats.org/officeDocument/2006/relationships" name="M6gas 06 n_X" sheetId="43" state="visible" r:id="rId43"/>
    <sheet xmlns:r="http://schemas.openxmlformats.org/officeDocument/2006/relationships" name="M6gas 07 wiberg_CX_parent" sheetId="44" state="visible" r:id="rId44"/>
    <sheet xmlns:r="http://schemas.openxmlformats.org/officeDocument/2006/relationships" name="M6gas 08 VEA" sheetId="45" state="visible" r:id="rId45"/>
    <sheet xmlns:r="http://schemas.openxmlformats.org/officeDocument/2006/relationships" name="M6gas 09 dG 2e_HDH" sheetId="46" state="visible" r:id="rId46"/>
    <sheet xmlns:r="http://schemas.openxmlformats.org/officeDocument/2006/relationships" name="M6gas 10 omega_dSCF" sheetId="47" state="visible" r:id="rId47"/>
    <sheet xmlns:r="http://schemas.openxmlformats.org/officeDocument/2006/relationships" name="M6gas 11 LUMO" sheetId="48" state="visible" r:id="rId48"/>
    <sheet xmlns:r="http://schemas.openxmlformats.org/officeDocument/2006/relationships" name="M6gas 12 dG 1e" sheetId="49" state="visible" r:id="rId49"/>
    <sheet xmlns:r="http://schemas.openxmlformats.org/officeDocument/2006/relationships" name="M6gas 13 BDE" sheetId="50" state="visible" r:id="rId50"/>
    <sheet xmlns:r="http://schemas.openxmlformats.org/officeDocument/2006/relationships" name="M6gas 14 LUMO_RA" sheetId="51" state="visible" r:id="rId51"/>
    <sheet xmlns:r="http://schemas.openxmlformats.org/officeDocument/2006/relationships" name="M6gas 15 dr_CX_RA" sheetId="52" state="visible" r:id="rId52"/>
    <sheet xmlns:r="http://schemas.openxmlformats.org/officeDocument/2006/relationships" name="M6gas 16 fplus_CX" sheetId="53" state="visible" r:id="rId53"/>
    <sheet xmlns:r="http://schemas.openxmlformats.org/officeDocument/2006/relationships" name="M6SMD 01 dG rad_red" sheetId="54" state="visible" r:id="rId54"/>
    <sheet xmlns:r="http://schemas.openxmlformats.org/officeDocument/2006/relationships" name="M6SMD 02 wiberg_CX_parent" sheetId="55" state="visible" r:id="rId55"/>
    <sheet xmlns:r="http://schemas.openxmlformats.org/officeDocument/2006/relationships" name="M6SMD 03 n_X" sheetId="56" state="visible" r:id="rId56"/>
    <sheet xmlns:r="http://schemas.openxmlformats.org/officeDocument/2006/relationships" name="M6SMD 04 dG 2e_carbanion" sheetId="57" state="visible" r:id="rId57"/>
    <sheet xmlns:r="http://schemas.openxmlformats.org/officeDocument/2006/relationships" name="M6SMD 05 dG0_act_concerted" sheetId="58" state="visible" r:id="rId58"/>
    <sheet xmlns:r="http://schemas.openxmlformats.org/officeDocument/2006/relationships" name="M6SMD 06 VEA" sheetId="59" state="visible" r:id="rId59"/>
    <sheet xmlns:r="http://schemas.openxmlformats.org/officeDocument/2006/relationships" name="M6SMD 07 dG 2e_HDH" sheetId="60" state="visible" r:id="rId60"/>
    <sheet xmlns:r="http://schemas.openxmlformats.org/officeDocument/2006/relationships" name="M6SMD 08 dG act_concerted" sheetId="61" state="visible" r:id="rId61"/>
    <sheet xmlns:r="http://schemas.openxmlformats.org/officeDocument/2006/relationships" name="M6SMD 09 dG act_combined" sheetId="62" state="visible" r:id="rId62"/>
    <sheet xmlns:r="http://schemas.openxmlformats.org/officeDocument/2006/relationships" name="M6SMD 10 omega_dSCF" sheetId="63" state="visible" r:id="rId63"/>
    <sheet xmlns:r="http://schemas.openxmlformats.org/officeDocument/2006/relationships" name="M6SMD 11 LUMO" sheetId="64" state="visible" r:id="rId64"/>
    <sheet xmlns:r="http://schemas.openxmlformats.org/officeDocument/2006/relationships" name="M6SMD 12 dG 1e" sheetId="65" state="visible" r:id="rId65"/>
    <sheet xmlns:r="http://schemas.openxmlformats.org/officeDocument/2006/relationships" name="M6SMD 13 BDE" sheetId="66" state="visible" r:id="rId66"/>
    <sheet xmlns:r="http://schemas.openxmlformats.org/officeDocument/2006/relationships" name="M6SMD 14 fplus_CX" sheetId="67" state="visible" r:id="rId67"/>
    <sheet xmlns:r="http://schemas.openxmlformats.org/officeDocument/2006/relationships" name="M6SMD 15 dG ET_any" sheetId="68" state="visible" r:id="rId68"/>
    <sheet xmlns:r="http://schemas.openxmlformats.org/officeDocument/2006/relationships" name="M6SMD 16 dG frag_any" sheetId="69" state="visible" r:id="rId69"/>
    <sheet xmlns:r="http://schemas.openxmlformats.org/officeDocument/2006/relationships" name="M6SMD 17 dr_CX_RA" sheetId="70" state="visible" r:id="rId70"/>
    <sheet xmlns:r="http://schemas.openxmlformats.org/officeDocument/2006/relationships" name="M6SMD 18 dG RA_2e_any" sheetId="71" state="visible" r:id="rId71"/>
    <sheet xmlns:r="http://schemas.openxmlformats.org/officeDocument/2006/relationships" name="M6SMD 19 LUMO_RA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E+00"/>
  </numFmts>
  <fonts count="6">
    <font>
      <name val="Calibri"/>
      <family val="2"/>
      <color theme="1"/>
      <sz val="11"/>
      <scheme val="minor"/>
    </font>
    <font>
      <b val="1"/>
    </font>
    <font>
      <name val="Cambria"/>
      <sz val="10"/>
    </font>
    <font>
      <b val="1"/>
      <sz val="12"/>
    </font>
    <font>
      <color rgb="000563C1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charts/chart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01 dG rad_red'!B1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0.0296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01 dG rad_red'!$D$2:$D$8</f>
              </numRef>
            </minus>
            <plus>
              <numRef>
                <f>'B3gas 01 dG rad_red'!$D$2:$D$8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01 dG rad_red'!$A$2:$A$8</f>
            </numRef>
          </xVal>
          <yVal>
            <numRef>
              <f>'B3gas 01 dG rad_red'!$B$2:$B$8</f>
            </numRef>
          </yVal>
          <smooth val="0"/>
        </ser>
        <ser>
          <idx val="1"/>
          <order val="1"/>
          <tx>
            <strRef>
              <f>'B3gas 01 dG rad_red'!H1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01 dG rad_red'!$G$2:$G$6</f>
            </numRef>
          </xVal>
          <yVal>
            <numRef>
              <f>'B3gas 01 dG rad_red'!$H$2:$H$6</f>
            </numRef>
          </yVal>
          <smooth val="0"/>
        </ser>
        <ser>
          <idx val="2"/>
          <order val="2"/>
          <tx>
            <strRef>
              <f>'B3gas 01 dG rad_red'!L1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0.0296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01 dG rad_red'!$N$2:$N$3</f>
              </numRef>
            </minus>
            <plus>
              <numRef>
                <f>'B3gas 01 dG rad_red'!$N$2:$N$3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01 dG rad_red'!$K$2:$K$3</f>
            </numRef>
          </xVal>
          <yVal>
            <numRef>
              <f>'B3gas 01 dG rad_red'!$L$2:$L$3</f>
            </numRef>
          </yVal>
          <smooth val="0"/>
        </ser>
        <ser>
          <idx val="3"/>
          <order val="3"/>
          <tx>
            <strRef>
              <f>'B3gas 01 dG rad_red'!Q1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01 dG rad_red'!$P$2:$P$3</f>
            </numRef>
          </xVal>
          <yVal>
            <numRef>
              <f>'B3gas 01 dG rad_red'!$Q$2:$Q$3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0"/>
          <min val="-8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02 dG RA_2e_any'!B1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1"/>
                  <y val="-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02 dG RA_2e_any'!$D$2:$D$8</f>
              </numRef>
            </minus>
            <plus>
              <numRef>
                <f>'B3gas 02 dG RA_2e_any'!$D$2:$D$8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02 dG RA_2e_any'!$A$2:$A$8</f>
            </numRef>
          </xVal>
          <yVal>
            <numRef>
              <f>'B3gas 02 dG RA_2e_any'!$B$2:$B$8</f>
            </numRef>
          </yVal>
          <smooth val="0"/>
        </ser>
        <ser>
          <idx val="1"/>
          <order val="1"/>
          <tx>
            <strRef>
              <f>'B3gas 02 dG RA_2e_any'!H1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476"/>
                  <y val="-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02 dG RA_2e_any'!$G$2:$G$6</f>
            </numRef>
          </xVal>
          <yVal>
            <numRef>
              <f>'B3gas 02 dG RA_2e_any'!$H$2:$H$6</f>
            </numRef>
          </yVal>
          <smooth val="0"/>
        </ser>
        <ser>
          <idx val="2"/>
          <order val="2"/>
          <tx>
            <strRef>
              <f>'B3gas 02 dG RA_2e_any'!L1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02 dG RA_2e_any'!$N$2:$N$3</f>
              </numRef>
            </minus>
            <plus>
              <numRef>
                <f>'B3gas 02 dG RA_2e_any'!$N$2:$N$3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02 dG RA_2e_any'!$K$2:$K$3</f>
            </numRef>
          </xVal>
          <yVal>
            <numRef>
              <f>'B3gas 02 dG RA_2e_any'!$L$2:$L$3</f>
            </numRef>
          </yVal>
          <smooth val="0"/>
        </ser>
        <ser>
          <idx val="3"/>
          <order val="3"/>
          <tx>
            <strRef>
              <f>'B3gas 02 dG RA_2e_any'!Q1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02 dG RA_2e_any'!$P$2:$P$3</f>
            </numRef>
          </xVal>
          <yVal>
            <numRef>
              <f>'B3gas 02 dG RA_2e_any'!$Q$2:$Q$3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0"/>
          <min val="-7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03 dG frag_any'!B1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476"/>
                  <y val="-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476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03 dG frag_any'!$D$2:$D$8</f>
              </numRef>
            </minus>
            <plus>
              <numRef>
                <f>'B3gas 03 dG frag_any'!$D$2:$D$8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03 dG frag_any'!$A$2:$A$8</f>
            </numRef>
          </xVal>
          <yVal>
            <numRef>
              <f>'B3gas 03 dG frag_any'!$B$2:$B$8</f>
            </numRef>
          </yVal>
          <smooth val="0"/>
        </ser>
        <ser>
          <idx val="1"/>
          <order val="1"/>
          <tx>
            <strRef>
              <f>'B3gas 03 dG frag_any'!H1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03 dG frag_any'!$G$2:$G$6</f>
            </numRef>
          </xVal>
          <yVal>
            <numRef>
              <f>'B3gas 03 dG frag_any'!$H$2:$H$6</f>
            </numRef>
          </yVal>
          <smooth val="0"/>
        </ser>
        <ser>
          <idx val="2"/>
          <order val="2"/>
          <tx>
            <strRef>
              <f>'B3gas 03 dG frag_any'!L1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03 dG frag_any'!$N$2:$N$3</f>
              </numRef>
            </minus>
            <plus>
              <numRef>
                <f>'B3gas 03 dG frag_any'!$N$2:$N$3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03 dG frag_any'!$K$2:$K$3</f>
            </numRef>
          </xVal>
          <yVal>
            <numRef>
              <f>'B3gas 03 dG frag_any'!$L$2:$L$3</f>
            </numRef>
          </yVal>
          <smooth val="0"/>
        </ser>
        <ser>
          <idx val="3"/>
          <order val="3"/>
          <tx>
            <strRef>
              <f>'B3gas 03 dG frag_any'!Q1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03 dG frag_any'!$P$2:$P$3</f>
            </numRef>
          </xVal>
          <yVal>
            <numRef>
              <f>'B3gas 03 dG frag_any'!$Q$2:$Q$3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30"/>
          <min val="-2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04 LUMO_RA'!B1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04 LUMO_RA'!$D$2:$D$8</f>
              </numRef>
            </minus>
            <plus>
              <numRef>
                <f>'B3gas 04 LUMO_RA'!$D$2:$D$8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04 LUMO_RA'!$A$2:$A$8</f>
            </numRef>
          </xVal>
          <yVal>
            <numRef>
              <f>'B3gas 04 LUMO_RA'!$B$2:$B$8</f>
            </numRef>
          </yVal>
          <smooth val="0"/>
        </ser>
        <ser>
          <idx val="1"/>
          <order val="1"/>
          <tx>
            <strRef>
              <f>'B3gas 04 LUMO_RA'!H1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655"/>
                  <y val="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04 LUMO_RA'!$G$2:$G$6</f>
            </numRef>
          </xVal>
          <yVal>
            <numRef>
              <f>'B3gas 04 LUMO_RA'!$H$2:$H$6</f>
            </numRef>
          </yVal>
          <smooth val="0"/>
        </ser>
        <ser>
          <idx val="2"/>
          <order val="2"/>
          <tx>
            <strRef>
              <f>'B3gas 04 LUMO_RA'!L1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04 LUMO_RA'!$N$2:$N$3</f>
              </numRef>
            </minus>
            <plus>
              <numRef>
                <f>'B3gas 04 LUMO_RA'!$N$2:$N$3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04 LUMO_RA'!$K$2:$K$3</f>
            </numRef>
          </xVal>
          <yVal>
            <numRef>
              <f>'B3gas 04 LUMO_RA'!$L$2:$L$3</f>
            </numRef>
          </yVal>
          <smooth val="0"/>
        </ser>
        <ser>
          <idx val="3"/>
          <order val="3"/>
          <tx>
            <strRef>
              <f>'B3gas 04 LUMO_RA'!Q1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04 LUMO_RA'!$P$2:$P$3</f>
            </numRef>
          </xVal>
          <yVal>
            <numRef>
              <f>'B3gas 04 LUMO_RA'!$Q$2:$Q$3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3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the radical anion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(eV)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05 dG 2e_carbanion'!B1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1"/>
                  <y val="-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05 dG 2e_carbanion'!$D$2:$D$8</f>
              </numRef>
            </minus>
            <plus>
              <numRef>
                <f>'B3gas 05 dG 2e_carbanion'!$D$2:$D$8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05 dG 2e_carbanion'!$A$2:$A$8</f>
            </numRef>
          </xVal>
          <yVal>
            <numRef>
              <f>'B3gas 05 dG 2e_carbanion'!$B$2:$B$8</f>
            </numRef>
          </yVal>
          <smooth val="0"/>
        </ser>
        <ser>
          <idx val="1"/>
          <order val="1"/>
          <tx>
            <strRef>
              <f>'B3gas 05 dG 2e_carbanion'!H1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05 dG 2e_carbanion'!$G$2:$G$6</f>
            </numRef>
          </xVal>
          <yVal>
            <numRef>
              <f>'B3gas 05 dG 2e_carbanion'!$H$2:$H$6</f>
            </numRef>
          </yVal>
          <smooth val="0"/>
        </ser>
        <ser>
          <idx val="2"/>
          <order val="2"/>
          <tx>
            <strRef>
              <f>'B3gas 05 dG 2e_carbanion'!L1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05 dG 2e_carbanion'!$N$2:$N$3</f>
              </numRef>
            </minus>
            <plus>
              <numRef>
                <f>'B3gas 05 dG 2e_carbanion'!$N$2:$N$3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05 dG 2e_carbanion'!$K$2:$K$3</f>
            </numRef>
          </xVal>
          <yVal>
            <numRef>
              <f>'B3gas 05 dG 2e_carbanion'!$L$2:$L$3</f>
            </numRef>
          </yVal>
          <smooth val="0"/>
        </ser>
        <ser>
          <idx val="3"/>
          <order val="3"/>
          <tx>
            <strRef>
              <f>'B3gas 05 dG 2e_carbanion'!Q1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05 dG 2e_carbanion'!$P$2:$P$3</f>
            </numRef>
          </xVal>
          <yVal>
            <numRef>
              <f>'B3gas 05 dG 2e_carbanion'!$Q$2:$Q$3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0"/>
          <min val="-10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06 n_X'!B1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06 n_X'!$D$2:$D$8</f>
              </numRef>
            </minus>
            <plus>
              <numRef>
                <f>'B3gas 06 n_X'!$D$2:$D$8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06 n_X'!$A$2:$A$8</f>
            </numRef>
          </xVal>
          <yVal>
            <numRef>
              <f>'B3gas 06 n_X'!$B$2:$B$8</f>
            </numRef>
          </yVal>
          <smooth val="0"/>
        </ser>
        <ser>
          <idx val="1"/>
          <order val="1"/>
          <tx>
            <strRef>
              <f>'B3gas 06 n_X'!H1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06 n_X'!$G$2:$G$6</f>
            </numRef>
          </xVal>
          <yVal>
            <numRef>
              <f>'B3gas 06 n_X'!$H$2:$H$6</f>
            </numRef>
          </yVal>
          <smooth val="0"/>
        </ser>
        <ser>
          <idx val="2"/>
          <order val="2"/>
          <tx>
            <strRef>
              <f>'B3gas 06 n_X'!L1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06 n_X'!$N$2:$N$3</f>
              </numRef>
            </minus>
            <plus>
              <numRef>
                <f>'B3gas 06 n_X'!$N$2:$N$3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06 n_X'!$K$2:$K$3</f>
            </numRef>
          </xVal>
          <yVal>
            <numRef>
              <f>'B3gas 06 n_X'!$L$2:$L$3</f>
            </numRef>
          </yVal>
          <smooth val="0"/>
        </ser>
        <ser>
          <idx val="3"/>
          <order val="3"/>
          <tx>
            <strRef>
              <f>'B3gas 06 n_X'!Q1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06 n_X'!$P$2:$P$3</f>
            </numRef>
          </xVal>
          <yVal>
            <numRef>
              <f>'B3gas 06 n_X'!$Q$2:$Q$3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number of halogens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07 dG ET_any'!B1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175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07 dG ET_any'!$D$2:$D$8</f>
              </numRef>
            </minus>
            <plus>
              <numRef>
                <f>'B3gas 07 dG ET_any'!$D$2:$D$8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07 dG ET_any'!$A$2:$A$8</f>
            </numRef>
          </xVal>
          <yVal>
            <numRef>
              <f>'B3gas 07 dG ET_any'!$B$2:$B$8</f>
            </numRef>
          </yVal>
          <smooth val="0"/>
        </ser>
        <ser>
          <idx val="1"/>
          <order val="1"/>
          <tx>
            <strRef>
              <f>'B3gas 07 dG ET_any'!H1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175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07 dG ET_any'!$G$2:$G$6</f>
            </numRef>
          </xVal>
          <yVal>
            <numRef>
              <f>'B3gas 07 dG ET_any'!$H$2:$H$6</f>
            </numRef>
          </yVal>
          <smooth val="0"/>
        </ser>
        <ser>
          <idx val="2"/>
          <order val="2"/>
          <tx>
            <strRef>
              <f>'B3gas 07 dG ET_any'!L1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07 dG ET_any'!$N$2:$N$3</f>
              </numRef>
            </minus>
            <plus>
              <numRef>
                <f>'B3gas 07 dG ET_any'!$N$2:$N$3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07 dG ET_any'!$K$2:$K$3</f>
            </numRef>
          </xVal>
          <yVal>
            <numRef>
              <f>'B3gas 07 dG ET_any'!$L$2:$L$3</f>
            </numRef>
          </yVal>
          <smooth val="0"/>
        </ser>
        <ser>
          <idx val="3"/>
          <order val="3"/>
          <tx>
            <strRef>
              <f>'B3gas 07 dG ET_any'!Q1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07 dG ET_any'!$P$2:$P$3</f>
            </numRef>
          </xVal>
          <yVal>
            <numRef>
              <f>'B3gas 07 dG ET_any'!$Q$2:$Q$3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20"/>
          <min val="-6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08 wiberg_CX_parent'!B1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08 wiberg_CX_parent'!$D$2:$D$8</f>
              </numRef>
            </minus>
            <plus>
              <numRef>
                <f>'B3gas 08 wiberg_CX_parent'!$D$2:$D$8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08 wiberg_CX_parent'!$A$2:$A$8</f>
            </numRef>
          </xVal>
          <yVal>
            <numRef>
              <f>'B3gas 08 wiberg_CX_parent'!$B$2:$B$8</f>
            </numRef>
          </yVal>
          <smooth val="0"/>
        </ser>
        <ser>
          <idx val="1"/>
          <order val="1"/>
          <tx>
            <strRef>
              <f>'B3gas 08 wiberg_CX_parent'!H1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08 wiberg_CX_parent'!$G$2:$G$6</f>
            </numRef>
          </xVal>
          <yVal>
            <numRef>
              <f>'B3gas 08 wiberg_CX_parent'!$H$2:$H$6</f>
            </numRef>
          </yVal>
          <smooth val="0"/>
        </ser>
        <ser>
          <idx val="2"/>
          <order val="2"/>
          <tx>
            <strRef>
              <f>'B3gas 08 wiberg_CX_parent'!L1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08 wiberg_CX_parent'!$N$2:$N$3</f>
              </numRef>
            </minus>
            <plus>
              <numRef>
                <f>'B3gas 08 wiberg_CX_parent'!$N$2:$N$3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08 wiberg_CX_parent'!$K$2:$K$3</f>
            </numRef>
          </xVal>
          <yVal>
            <numRef>
              <f>'B3gas 08 wiberg_CX_parent'!$L$2:$L$3</f>
            </numRef>
          </yVal>
          <smooth val="0"/>
        </ser>
        <ser>
          <idx val="3"/>
          <order val="3"/>
          <tx>
            <strRef>
              <f>'B3gas 08 wiberg_CX_parent'!Q1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08 wiberg_CX_parent'!$P$2:$P$3</f>
            </numRef>
          </xVal>
          <yVal>
            <numRef>
              <f>'B3gas 08 wiberg_CX_parent'!$Q$2:$Q$3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1"/>
          <min val="1.0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Wiberg C–X bond order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0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09 LUMO'!B1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09 LUMO'!$D$2:$D$8</f>
              </numRef>
            </minus>
            <plus>
              <numRef>
                <f>'B3gas 09 LUMO'!$D$2:$D$8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09 LUMO'!$A$2:$A$8</f>
            </numRef>
          </xVal>
          <yVal>
            <numRef>
              <f>'B3gas 09 LUMO'!$B$2:$B$8</f>
            </numRef>
          </yVal>
          <smooth val="0"/>
        </ser>
        <ser>
          <idx val="1"/>
          <order val="1"/>
          <tx>
            <strRef>
              <f>'B3gas 09 LUMO'!H1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09 LUMO'!$G$2:$G$6</f>
            </numRef>
          </xVal>
          <yVal>
            <numRef>
              <f>'B3gas 09 LUMO'!$H$2:$H$6</f>
            </numRef>
          </yVal>
          <smooth val="0"/>
        </ser>
        <ser>
          <idx val="2"/>
          <order val="2"/>
          <tx>
            <strRef>
              <f>'B3gas 09 LUMO'!L1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09 LUMO'!$N$2:$N$3</f>
              </numRef>
            </minus>
            <plus>
              <numRef>
                <f>'B3gas 09 LUMO'!$N$2:$N$3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09 LUMO'!$K$2:$K$3</f>
            </numRef>
          </xVal>
          <yVal>
            <numRef>
              <f>'B3gas 09 LUMO'!$L$2:$L$3</f>
            </numRef>
          </yVal>
          <smooth val="0"/>
        </ser>
        <ser>
          <idx val="3"/>
          <order val="3"/>
          <tx>
            <strRef>
              <f>'B3gas 09 LUMO'!Q1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09 LUMO'!$P$2:$P$3</f>
            </numRef>
          </xVal>
          <yVal>
            <numRef>
              <f>'B3gas 09 LUMO'!$Q$2:$Q$3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0.5"/>
          <min val="-3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ArX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10 VEA'!B1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175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10 VEA'!$D$2:$D$8</f>
              </numRef>
            </minus>
            <plus>
              <numRef>
                <f>'B3gas 10 VEA'!$D$2:$D$8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10 VEA'!$A$2:$A$8</f>
            </numRef>
          </xVal>
          <yVal>
            <numRef>
              <f>'B3gas 10 VEA'!$B$2:$B$8</f>
            </numRef>
          </yVal>
          <smooth val="0"/>
        </ser>
        <ser>
          <idx val="1"/>
          <order val="1"/>
          <tx>
            <strRef>
              <f>'B3gas 10 VEA'!H1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10 VEA'!$G$2:$G$6</f>
            </numRef>
          </xVal>
          <yVal>
            <numRef>
              <f>'B3gas 10 VEA'!$H$2:$H$6</f>
            </numRef>
          </yVal>
          <smooth val="0"/>
        </ser>
        <ser>
          <idx val="2"/>
          <order val="2"/>
          <tx>
            <strRef>
              <f>'B3gas 10 VEA'!L1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10 VEA'!$N$2:$N$3</f>
              </numRef>
            </minus>
            <plus>
              <numRef>
                <f>'B3gas 10 VEA'!$N$2:$N$3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10 VEA'!$K$2:$K$3</f>
            </numRef>
          </xVal>
          <yVal>
            <numRef>
              <f>'B3gas 10 VEA'!$L$2:$L$3</f>
            </numRef>
          </yVal>
          <smooth val="0"/>
        </ser>
        <ser>
          <idx val="3"/>
          <order val="3"/>
          <tx>
            <strRef>
              <f>'B3gas 10 VEA'!Q1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10 VEA'!$P$2:$P$3</f>
            </numRef>
          </xVal>
          <yVal>
            <numRef>
              <f>'B3gas 10 VEA'!$Q$2:$Q$3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5"/>
          <min val="-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vertical electron affinity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11 dG 2e_HDH'!B1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11 dG 2e_HDH'!$D$2:$D$8</f>
              </numRef>
            </minus>
            <plus>
              <numRef>
                <f>'B3gas 11 dG 2e_HDH'!$D$2:$D$8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11 dG 2e_HDH'!$A$2:$A$8</f>
            </numRef>
          </xVal>
          <yVal>
            <numRef>
              <f>'B3gas 11 dG 2e_HDH'!$B$2:$B$8</f>
            </numRef>
          </yVal>
          <smooth val="0"/>
        </ser>
        <ser>
          <idx val="1"/>
          <order val="1"/>
          <tx>
            <strRef>
              <f>'B3gas 11 dG 2e_HDH'!H1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794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794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11 dG 2e_HDH'!$G$2:$G$6</f>
            </numRef>
          </xVal>
          <yVal>
            <numRef>
              <f>'B3gas 11 dG 2e_HDH'!$H$2:$H$6</f>
            </numRef>
          </yVal>
          <smooth val="0"/>
        </ser>
        <ser>
          <idx val="2"/>
          <order val="2"/>
          <tx>
            <strRef>
              <f>'B3gas 11 dG 2e_HDH'!L1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11 dG 2e_HDH'!$N$2:$N$3</f>
              </numRef>
            </minus>
            <plus>
              <numRef>
                <f>'B3gas 11 dG 2e_HDH'!$N$2:$N$3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11 dG 2e_HDH'!$K$2:$K$3</f>
            </numRef>
          </xVal>
          <yVal>
            <numRef>
              <f>'B3gas 11 dG 2e_HDH'!$L$2:$L$3</f>
            </numRef>
          </yVal>
          <smooth val="0"/>
        </ser>
        <ser>
          <idx val="3"/>
          <order val="3"/>
          <tx>
            <strRef>
              <f>'B3gas 11 dG 2e_HDH'!Q1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11 dG 2e_HDH'!$P$2:$P$3</f>
            </numRef>
          </xVal>
          <yVal>
            <numRef>
              <f>'B3gas 11 dG 2e_HDH'!$Q$2:$Q$3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420"/>
          <min val="-44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+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ArH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12 omega_dSCF'!B1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12 omega_dSCF'!$D$2:$D$8</f>
              </numRef>
            </minus>
            <plus>
              <numRef>
                <f>'B3gas 12 omega_dSCF'!$D$2:$D$8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12 omega_dSCF'!$A$2:$A$8</f>
            </numRef>
          </xVal>
          <yVal>
            <numRef>
              <f>'B3gas 12 omega_dSCF'!$B$2:$B$8</f>
            </numRef>
          </yVal>
          <smooth val="0"/>
        </ser>
        <ser>
          <idx val="1"/>
          <order val="1"/>
          <tx>
            <strRef>
              <f>'B3gas 12 omega_dSCF'!H1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12 omega_dSCF'!$G$2:$G$6</f>
            </numRef>
          </xVal>
          <yVal>
            <numRef>
              <f>'B3gas 12 omega_dSCF'!$H$2:$H$6</f>
            </numRef>
          </yVal>
          <smooth val="0"/>
        </ser>
        <ser>
          <idx val="2"/>
          <order val="2"/>
          <tx>
            <strRef>
              <f>'B3gas 12 omega_dSCF'!L1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12 omega_dSCF'!$N$2:$N$3</f>
              </numRef>
            </minus>
            <plus>
              <numRef>
                <f>'B3gas 12 omega_dSCF'!$N$2:$N$3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12 omega_dSCF'!$K$2:$K$3</f>
            </numRef>
          </xVal>
          <yVal>
            <numRef>
              <f>'B3gas 12 omega_dSCF'!$L$2:$L$3</f>
            </numRef>
          </yVal>
          <smooth val="0"/>
        </ser>
        <ser>
          <idx val="3"/>
          <order val="3"/>
          <tx>
            <strRef>
              <f>'B3gas 12 omega_dSCF'!Q1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12 omega_dSCF'!$P$2:$P$3</f>
            </numRef>
          </xVal>
          <yVal>
            <numRef>
              <f>'B3gas 12 omega_dSCF'!$Q$2:$Q$3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8"/>
          <min val="0.8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electrophilicity index (ΔSCF)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13 dG 1e'!B1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175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13 dG 1e'!$D$2:$D$8</f>
              </numRef>
            </minus>
            <plus>
              <numRef>
                <f>'B3gas 13 dG 1e'!$D$2:$D$8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13 dG 1e'!$A$2:$A$8</f>
            </numRef>
          </xVal>
          <yVal>
            <numRef>
              <f>'B3gas 13 dG 1e'!$B$2:$B$8</f>
            </numRef>
          </yVal>
          <smooth val="0"/>
        </ser>
        <ser>
          <idx val="1"/>
          <order val="1"/>
          <tx>
            <strRef>
              <f>'B3gas 13 dG 1e'!H1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13 dG 1e'!$G$2:$G$6</f>
            </numRef>
          </xVal>
          <yVal>
            <numRef>
              <f>'B3gas 13 dG 1e'!$H$2:$H$6</f>
            </numRef>
          </yVal>
          <smooth val="0"/>
        </ser>
        <ser>
          <idx val="2"/>
          <order val="2"/>
          <tx>
            <strRef>
              <f>'B3gas 13 dG 1e'!L1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13 dG 1e'!$N$2:$N$3</f>
              </numRef>
            </minus>
            <plus>
              <numRef>
                <f>'B3gas 13 dG 1e'!$N$2:$N$3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13 dG 1e'!$K$2:$K$3</f>
            </numRef>
          </xVal>
          <yVal>
            <numRef>
              <f>'B3gas 13 dG 1e'!$L$2:$L$3</f>
            </numRef>
          </yVal>
          <smooth val="0"/>
        </ser>
        <ser>
          <idx val="3"/>
          <order val="3"/>
          <tx>
            <strRef>
              <f>'B3gas 13 dG 1e'!Q1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13 dG 1e'!$P$2:$P$3</f>
            </numRef>
          </xVal>
          <yVal>
            <numRef>
              <f>'B3gas 13 dG 1e'!$Q$2:$Q$3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"/>
          <min val="-3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14 BDE'!B1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238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14 BDE'!$D$2:$D$8</f>
              </numRef>
            </minus>
            <plus>
              <numRef>
                <f>'B3gas 14 BDE'!$D$2:$D$8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14 BDE'!$A$2:$A$8</f>
            </numRef>
          </xVal>
          <yVal>
            <numRef>
              <f>'B3gas 14 BDE'!$B$2:$B$8</f>
            </numRef>
          </yVal>
          <smooth val="0"/>
        </ser>
        <ser>
          <idx val="1"/>
          <order val="1"/>
          <tx>
            <strRef>
              <f>'B3gas 14 BDE'!H1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14 BDE'!$G$2:$G$6</f>
            </numRef>
          </xVal>
          <yVal>
            <numRef>
              <f>'B3gas 14 BDE'!$H$2:$H$6</f>
            </numRef>
          </yVal>
          <smooth val="0"/>
        </ser>
        <ser>
          <idx val="2"/>
          <order val="2"/>
          <tx>
            <strRef>
              <f>'B3gas 14 BDE'!L1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14 BDE'!$N$2:$N$3</f>
              </numRef>
            </minus>
            <plus>
              <numRef>
                <f>'B3gas 14 BDE'!$N$2:$N$3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14 BDE'!$K$2:$K$3</f>
            </numRef>
          </xVal>
          <yVal>
            <numRef>
              <f>'B3gas 14 BDE'!$L$2:$L$3</f>
            </numRef>
          </yVal>
          <smooth val="0"/>
        </ser>
        <ser>
          <idx val="3"/>
          <order val="3"/>
          <tx>
            <strRef>
              <f>'B3gas 14 BDE'!Q1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14 BDE'!$P$2:$P$3</f>
            </numRef>
          </xVal>
          <yVal>
            <numRef>
              <f>'B3gas 14 BDE'!$Q$2:$Q$3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6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C–X bond enthalpy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15 dr_CX_RA'!B1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15 dr_CX_RA'!$D$2:$D$8</f>
              </numRef>
            </minus>
            <plus>
              <numRef>
                <f>'B3gas 15 dr_CX_RA'!$D$2:$D$8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15 dr_CX_RA'!$A$2:$A$8</f>
            </numRef>
          </xVal>
          <yVal>
            <numRef>
              <f>'B3gas 15 dr_CX_RA'!$B$2:$B$8</f>
            </numRef>
          </yVal>
          <smooth val="0"/>
        </ser>
        <ser>
          <idx val="1"/>
          <order val="1"/>
          <tx>
            <strRef>
              <f>'B3gas 15 dr_CX_RA'!H1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0.0296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15 dr_CX_RA'!$G$2:$G$6</f>
            </numRef>
          </xVal>
          <yVal>
            <numRef>
              <f>'B3gas 15 dr_CX_RA'!$H$2:$H$6</f>
            </numRef>
          </yVal>
          <smooth val="0"/>
        </ser>
        <ser>
          <idx val="2"/>
          <order val="2"/>
          <tx>
            <strRef>
              <f>'B3gas 15 dr_CX_RA'!L1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15 dr_CX_RA'!$N$2:$N$3</f>
              </numRef>
            </minus>
            <plus>
              <numRef>
                <f>'B3gas 15 dr_CX_RA'!$N$2:$N$3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15 dr_CX_RA'!$K$2:$K$3</f>
            </numRef>
          </xVal>
          <yVal>
            <numRef>
              <f>'B3gas 15 dr_CX_RA'!$L$2:$L$3</f>
            </numRef>
          </yVal>
          <smooth val="0"/>
        </ser>
        <ser>
          <idx val="3"/>
          <order val="3"/>
          <tx>
            <strRef>
              <f>'B3gas 15 dr_CX_RA'!Q1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15 dr_CX_RA'!$P$2:$P$3</f>
            </numRef>
          </xVal>
          <yVal>
            <numRef>
              <f>'B3gas 15 dr_CX_RA'!$Q$2:$Q$3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-0.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C–X elongation in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(Å)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'B3gas 16 fplus_CX'!B1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381"/>
                  <y val="-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16 fplus_CX'!$D$2:$D$8</f>
              </numRef>
            </minus>
            <plus>
              <numRef>
                <f>'B3gas 16 fplus_CX'!$D$2:$D$8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16 fplus_CX'!$A$2:$A$8</f>
            </numRef>
          </xVal>
          <yVal>
            <numRef>
              <f>'B3gas 16 fplus_CX'!$B$2:$B$8</f>
            </numRef>
          </yVal>
          <smooth val="0"/>
        </ser>
        <ser>
          <idx val="1"/>
          <order val="1"/>
          <tx>
            <strRef>
              <f>'B3gas 16 fplus_CX'!H1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'B3gas 16 fplus_CX'!$G$2:$G$6</f>
            </numRef>
          </xVal>
          <yVal>
            <numRef>
              <f>'B3gas 16 fplus_CX'!$H$2:$H$6</f>
            </numRef>
          </yVal>
          <smooth val="0"/>
        </ser>
        <ser>
          <idx val="2"/>
          <order val="2"/>
          <tx>
            <strRef>
              <f>'B3gas 16 fplus_CX'!L1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'B3gas 16 fplus_CX'!$N$2:$N$3</f>
              </numRef>
            </minus>
            <plus>
              <numRef>
                <f>'B3gas 16 fplus_CX'!$N$2:$N$3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'B3gas 16 fplus_CX'!$K$2:$K$3</f>
            </numRef>
          </xVal>
          <yVal>
            <numRef>
              <f>'B3gas 16 fplus_CX'!$L$2:$L$3</f>
            </numRef>
          </yVal>
          <smooth val="0"/>
        </ser>
        <ser>
          <idx val="3"/>
          <order val="3"/>
          <tx>
            <strRef>
              <f>'B3gas 16 fplus_CX'!Q1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'B3gas 16 fplus_CX'!$P$2:$P$3</f>
            </numRef>
          </xVal>
          <yVal>
            <numRef>
              <f>'B3gas 16 fplus_CX'!$Q$2:$Q$3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.5"/>
          <min val="0.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Fukui f+ on a C–X bond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1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01 dG rad_red'!B1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476"/>
                  <y val="-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01 dG rad_red'!$D$2:$D$8</f>
              </numRef>
            </minus>
            <plus>
              <numRef>
                <f>'B3SMD 01 dG rad_red'!$D$2:$D$8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01 dG rad_red'!$A$2:$A$8</f>
            </numRef>
          </xVal>
          <yVal>
            <numRef>
              <f>'B3SMD 01 dG rad_red'!$B$2:$B$8</f>
            </numRef>
          </yVal>
          <smooth val="0"/>
        </ser>
        <ser>
          <idx val="1"/>
          <order val="1"/>
          <tx>
            <strRef>
              <f>'B3SMD 01 dG rad_red'!H1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0.096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01 dG rad_red'!$G$2:$G$6</f>
            </numRef>
          </xVal>
          <yVal>
            <numRef>
              <f>'B3SMD 01 dG rad_red'!$H$2:$H$6</f>
            </numRef>
          </yVal>
          <smooth val="0"/>
        </ser>
        <ser>
          <idx val="2"/>
          <order val="2"/>
          <tx>
            <strRef>
              <f>'B3SMD 01 dG rad_red'!L1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01 dG rad_red'!$N$2:$N$3</f>
              </numRef>
            </minus>
            <plus>
              <numRef>
                <f>'B3SMD 01 dG rad_red'!$N$2:$N$3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01 dG rad_red'!$K$2:$K$3</f>
            </numRef>
          </xVal>
          <yVal>
            <numRef>
              <f>'B3SMD 01 dG rad_red'!$L$2:$L$3</f>
            </numRef>
          </yVal>
          <smooth val="0"/>
        </ser>
        <ser>
          <idx val="3"/>
          <order val="3"/>
          <tx>
            <strRef>
              <f>'B3SMD 01 dG rad_red'!Q1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01 dG rad_red'!$P$2:$P$3</f>
            </numRef>
          </xVal>
          <yVal>
            <numRef>
              <f>'B3SMD 01 dG rad_red'!$Q$2:$Q$3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80"/>
          <min val="-12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02 dG RA_2e_any'!B1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02 dG RA_2e_any'!$D$2:$D$8</f>
              </numRef>
            </minus>
            <plus>
              <numRef>
                <f>'B3SMD 02 dG RA_2e_any'!$D$2:$D$8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02 dG RA_2e_any'!$A$2:$A$8</f>
            </numRef>
          </xVal>
          <yVal>
            <numRef>
              <f>'B3SMD 02 dG RA_2e_any'!$B$2:$B$8</f>
            </numRef>
          </yVal>
          <smooth val="0"/>
        </ser>
        <ser>
          <idx val="1"/>
          <order val="1"/>
          <tx>
            <strRef>
              <f>'B3SMD 02 dG RA_2e_any'!H1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02 dG RA_2e_any'!$G$2:$G$6</f>
            </numRef>
          </xVal>
          <yVal>
            <numRef>
              <f>'B3SMD 02 dG RA_2e_any'!$H$2:$H$6</f>
            </numRef>
          </yVal>
          <smooth val="0"/>
        </ser>
        <ser>
          <idx val="2"/>
          <order val="2"/>
          <tx>
            <strRef>
              <f>'B3SMD 02 dG RA_2e_any'!L1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02 dG RA_2e_any'!$N$2:$N$2</f>
              </numRef>
            </minus>
            <plus>
              <numRef>
                <f>'B3SMD 02 dG RA_2e_any'!$N$2:$N$2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02 dG RA_2e_any'!$K$2</f>
            </numRef>
          </xVal>
          <yVal>
            <numRef>
              <f>'B3SMD 02 dG RA_2e_any'!$L$2</f>
            </numRef>
          </yVal>
          <smooth val="0"/>
        </ser>
        <ser>
          <idx val="3"/>
          <order val="3"/>
          <tx>
            <strRef>
              <f>'B3SMD 02 dG RA_2e_any'!Q1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02 dG RA_2e_any'!$P$2:$P$3</f>
            </numRef>
          </xVal>
          <yVal>
            <numRef>
              <f>'B3SMD 02 dG RA_2e_any'!$Q$2:$Q$3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80"/>
          <min val="-12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03 wiberg_CX_parent'!B1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03 wiberg_CX_parent'!$D$2:$D$8</f>
              </numRef>
            </minus>
            <plus>
              <numRef>
                <f>'B3SMD 03 wiberg_CX_parent'!$D$2:$D$8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03 wiberg_CX_parent'!$A$2:$A$8</f>
            </numRef>
          </xVal>
          <yVal>
            <numRef>
              <f>'B3SMD 03 wiberg_CX_parent'!$B$2:$B$8</f>
            </numRef>
          </yVal>
          <smooth val="0"/>
        </ser>
        <ser>
          <idx val="1"/>
          <order val="1"/>
          <tx>
            <strRef>
              <f>'B3SMD 03 wiberg_CX_parent'!H1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03 wiberg_CX_parent'!$G$2:$G$6</f>
            </numRef>
          </xVal>
          <yVal>
            <numRef>
              <f>'B3SMD 03 wiberg_CX_parent'!$H$2:$H$6</f>
            </numRef>
          </yVal>
          <smooth val="0"/>
        </ser>
        <ser>
          <idx val="2"/>
          <order val="2"/>
          <tx>
            <strRef>
              <f>'B3SMD 03 wiberg_CX_parent'!L1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03 wiberg_CX_parent'!$N$2:$N$3</f>
              </numRef>
            </minus>
            <plus>
              <numRef>
                <f>'B3SMD 03 wiberg_CX_parent'!$N$2:$N$3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03 wiberg_CX_parent'!$K$2:$K$3</f>
            </numRef>
          </xVal>
          <yVal>
            <numRef>
              <f>'B3SMD 03 wiberg_CX_parent'!$L$2:$L$3</f>
            </numRef>
          </yVal>
          <smooth val="0"/>
        </ser>
        <ser>
          <idx val="3"/>
          <order val="3"/>
          <tx>
            <strRef>
              <f>'B3SMD 03 wiberg_CX_parent'!Q1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03 wiberg_CX_parent'!$P$2:$P$3</f>
            </numRef>
          </xVal>
          <yVal>
            <numRef>
              <f>'B3SMD 03 wiberg_CX_parent'!$Q$2:$Q$3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1"/>
          <min val="1.0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Wiberg C–X bond order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0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04 n_X'!B1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04 n_X'!$D$2:$D$8</f>
              </numRef>
            </minus>
            <plus>
              <numRef>
                <f>'B3SMD 04 n_X'!$D$2:$D$8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04 n_X'!$A$2:$A$8</f>
            </numRef>
          </xVal>
          <yVal>
            <numRef>
              <f>'B3SMD 04 n_X'!$B$2:$B$8</f>
            </numRef>
          </yVal>
          <smooth val="0"/>
        </ser>
        <ser>
          <idx val="1"/>
          <order val="1"/>
          <tx>
            <strRef>
              <f>'B3SMD 04 n_X'!H1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04 n_X'!$G$2:$G$6</f>
            </numRef>
          </xVal>
          <yVal>
            <numRef>
              <f>'B3SMD 04 n_X'!$H$2:$H$6</f>
            </numRef>
          </yVal>
          <smooth val="0"/>
        </ser>
        <ser>
          <idx val="2"/>
          <order val="2"/>
          <tx>
            <strRef>
              <f>'B3SMD 04 n_X'!L1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04 n_X'!$N$2:$N$3</f>
              </numRef>
            </minus>
            <plus>
              <numRef>
                <f>'B3SMD 04 n_X'!$N$2:$N$3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04 n_X'!$K$2:$K$3</f>
            </numRef>
          </xVal>
          <yVal>
            <numRef>
              <f>'B3SMD 04 n_X'!$L$2:$L$3</f>
            </numRef>
          </yVal>
          <smooth val="0"/>
        </ser>
        <ser>
          <idx val="3"/>
          <order val="3"/>
          <tx>
            <strRef>
              <f>'B3SMD 04 n_X'!Q1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04 n_X'!$P$2:$P$3</f>
            </numRef>
          </xVal>
          <yVal>
            <numRef>
              <f>'B3SMD 04 n_X'!$Q$2:$Q$3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number of halogens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05 LUMO'!B1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476"/>
                  <y val="-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05 LUMO'!$D$2:$D$8</f>
              </numRef>
            </minus>
            <plus>
              <numRef>
                <f>'B3SMD 05 LUMO'!$D$2:$D$8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05 LUMO'!$A$2:$A$8</f>
            </numRef>
          </xVal>
          <yVal>
            <numRef>
              <f>'B3SMD 05 LUMO'!$B$2:$B$8</f>
            </numRef>
          </yVal>
          <smooth val="0"/>
        </ser>
        <ser>
          <idx val="1"/>
          <order val="1"/>
          <tx>
            <strRef>
              <f>'B3SMD 05 LUMO'!H1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05 LUMO'!$G$2:$G$6</f>
            </numRef>
          </xVal>
          <yVal>
            <numRef>
              <f>'B3SMD 05 LUMO'!$H$2:$H$6</f>
            </numRef>
          </yVal>
          <smooth val="0"/>
        </ser>
        <ser>
          <idx val="2"/>
          <order val="2"/>
          <tx>
            <strRef>
              <f>'B3SMD 05 LUMO'!L1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05 LUMO'!$N$2:$N$3</f>
              </numRef>
            </minus>
            <plus>
              <numRef>
                <f>'B3SMD 05 LUMO'!$N$2:$N$3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05 LUMO'!$K$2:$K$3</f>
            </numRef>
          </xVal>
          <yVal>
            <numRef>
              <f>'B3SMD 05 LUMO'!$L$2:$L$3</f>
            </numRef>
          </yVal>
          <smooth val="0"/>
        </ser>
        <ser>
          <idx val="3"/>
          <order val="3"/>
          <tx>
            <strRef>
              <f>'B3SMD 05 LUMO'!Q1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05 LUMO'!$P$2:$P$3</f>
            </numRef>
          </xVal>
          <yVal>
            <numRef>
              <f>'B3SMD 05 LUMO'!$Q$2:$Q$3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0.5"/>
          <min val="-3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ArX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06 dG 2e_carbanion'!B1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0.0296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06 dG 2e_carbanion'!$D$2:$D$8</f>
              </numRef>
            </minus>
            <plus>
              <numRef>
                <f>'B3SMD 06 dG 2e_carbanion'!$D$2:$D$8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06 dG 2e_carbanion'!$A$2:$A$8</f>
            </numRef>
          </xVal>
          <yVal>
            <numRef>
              <f>'B3SMD 06 dG 2e_carbanion'!$B$2:$B$8</f>
            </numRef>
          </yVal>
          <smooth val="0"/>
        </ser>
        <ser>
          <idx val="1"/>
          <order val="1"/>
          <tx>
            <strRef>
              <f>'B3SMD 06 dG 2e_carbanion'!H1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0.096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06 dG 2e_carbanion'!$G$2:$G$6</f>
            </numRef>
          </xVal>
          <yVal>
            <numRef>
              <f>'B3SMD 06 dG 2e_carbanion'!$H$2:$H$6</f>
            </numRef>
          </yVal>
          <smooth val="0"/>
        </ser>
        <ser>
          <idx val="2"/>
          <order val="2"/>
          <tx>
            <strRef>
              <f>'B3SMD 06 dG 2e_carbanion'!L1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06 dG 2e_carbanion'!$N$2:$N$3</f>
              </numRef>
            </minus>
            <plus>
              <numRef>
                <f>'B3SMD 06 dG 2e_carbanion'!$N$2:$N$3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06 dG 2e_carbanion'!$K$2:$K$3</f>
            </numRef>
          </xVal>
          <yVal>
            <numRef>
              <f>'B3SMD 06 dG 2e_carbanion'!$L$2:$L$3</f>
            </numRef>
          </yVal>
          <smooth val="0"/>
        </ser>
        <ser>
          <idx val="3"/>
          <order val="3"/>
          <tx>
            <strRef>
              <f>'B3SMD 06 dG 2e_carbanion'!Q1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06 dG 2e_carbanion'!$P$2:$P$3</f>
            </numRef>
          </xVal>
          <yVal>
            <numRef>
              <f>'B3SMD 06 dG 2e_carbanion'!$Q$2:$Q$3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140"/>
          <min val="-19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07 dG frag_any'!B1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175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07 dG frag_any'!$D$2:$D$8</f>
              </numRef>
            </minus>
            <plus>
              <numRef>
                <f>'B3SMD 07 dG frag_any'!$D$2:$D$8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07 dG frag_any'!$A$2:$A$8</f>
            </numRef>
          </xVal>
          <yVal>
            <numRef>
              <f>'B3SMD 07 dG frag_any'!$B$2:$B$8</f>
            </numRef>
          </yVal>
          <smooth val="0"/>
        </ser>
        <ser>
          <idx val="1"/>
          <order val="1"/>
          <tx>
            <strRef>
              <f>'B3SMD 07 dG frag_any'!H1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07 dG frag_any'!$G$2:$G$6</f>
            </numRef>
          </xVal>
          <yVal>
            <numRef>
              <f>'B3SMD 07 dG frag_any'!$H$2:$H$6</f>
            </numRef>
          </yVal>
          <smooth val="0"/>
        </ser>
        <ser>
          <idx val="2"/>
          <order val="2"/>
          <tx>
            <strRef>
              <f>'B3SMD 07 dG frag_any'!L1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07 dG frag_any'!$N$2:$N$2</f>
              </numRef>
            </minus>
            <plus>
              <numRef>
                <f>'B3SMD 07 dG frag_any'!$N$2:$N$2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07 dG frag_any'!$K$2</f>
            </numRef>
          </xVal>
          <yVal>
            <numRef>
              <f>'B3SMD 07 dG frag_any'!$L$2</f>
            </numRef>
          </yVal>
          <smooth val="0"/>
        </ser>
        <ser>
          <idx val="3"/>
          <order val="3"/>
          <tx>
            <strRef>
              <f>'B3SMD 07 dG frag_any'!Q1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07 dG frag_any'!$P$2:$P$3</f>
            </numRef>
          </xVal>
          <yVal>
            <numRef>
              <f>'B3SMD 07 dG frag_any'!$Q$2:$Q$3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-4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08 dG0_act_concerted'!B1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175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08 dG0_act_concerted'!$D$2:$D$8</f>
              </numRef>
            </minus>
            <plus>
              <numRef>
                <f>'B3SMD 08 dG0_act_concerted'!$D$2:$D$8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08 dG0_act_concerted'!$A$2:$A$8</f>
            </numRef>
          </xVal>
          <yVal>
            <numRef>
              <f>'B3SMD 08 dG0_act_concerted'!$B$2:$B$8</f>
            </numRef>
          </yVal>
          <smooth val="0"/>
        </ser>
        <ser>
          <idx val="1"/>
          <order val="1"/>
          <tx>
            <strRef>
              <f>'B3SMD 08 dG0_act_concerted'!H1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08 dG0_act_concerted'!$G$2:$G$6</f>
            </numRef>
          </xVal>
          <yVal>
            <numRef>
              <f>'B3SMD 08 dG0_act_concerted'!$H$2:$H$6</f>
            </numRef>
          </yVal>
          <smooth val="0"/>
        </ser>
        <ser>
          <idx val="2"/>
          <order val="2"/>
          <tx>
            <strRef>
              <f>'B3SMD 08 dG0_act_concerted'!L1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08 dG0_act_concerted'!$N$2:$N$3</f>
              </numRef>
            </minus>
            <plus>
              <numRef>
                <f>'B3SMD 08 dG0_act_concerted'!$N$2:$N$3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08 dG0_act_concerted'!$K$2:$K$3</f>
            </numRef>
          </xVal>
          <yVal>
            <numRef>
              <f>'B3SMD 08 dG0_act_concerted'!$L$2:$L$3</f>
            </numRef>
          </yVal>
          <smooth val="0"/>
        </ser>
        <ser>
          <idx val="3"/>
          <order val="3"/>
          <tx>
            <strRef>
              <f>'B3SMD 08 dG0_act_concerted'!Q1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08 dG0_act_concerted'!$P$2:$P$3</f>
            </numRef>
          </xVal>
          <yVal>
            <numRef>
              <f>'B3SMD 08 dG0_act_concerted'!$Q$2:$Q$3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32"/>
          <min val="2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Savéant intrinsic barrier (weakest C–X)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09 dG 2e_HDH'!B1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09 dG 2e_HDH'!$D$2:$D$8</f>
              </numRef>
            </minus>
            <plus>
              <numRef>
                <f>'B3SMD 09 dG 2e_HDH'!$D$2:$D$8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09 dG 2e_HDH'!$A$2:$A$8</f>
            </numRef>
          </xVal>
          <yVal>
            <numRef>
              <f>'B3SMD 09 dG 2e_HDH'!$B$2:$B$8</f>
            </numRef>
          </yVal>
          <smooth val="0"/>
        </ser>
        <ser>
          <idx val="1"/>
          <order val="1"/>
          <tx>
            <strRef>
              <f>'B3SMD 09 dG 2e_HDH'!H1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09 dG 2e_HDH'!$G$2:$G$6</f>
            </numRef>
          </xVal>
          <yVal>
            <numRef>
              <f>'B3SMD 09 dG 2e_HDH'!$H$2:$H$6</f>
            </numRef>
          </yVal>
          <smooth val="0"/>
        </ser>
        <ser>
          <idx val="2"/>
          <order val="2"/>
          <tx>
            <strRef>
              <f>'B3SMD 09 dG 2e_HDH'!L1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09 dG 2e_HDH'!$N$2:$N$3</f>
              </numRef>
            </minus>
            <plus>
              <numRef>
                <f>'B3SMD 09 dG 2e_HDH'!$N$2:$N$3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09 dG 2e_HDH'!$K$2:$K$3</f>
            </numRef>
          </xVal>
          <yVal>
            <numRef>
              <f>'B3SMD 09 dG 2e_HDH'!$L$2:$L$3</f>
            </numRef>
          </yVal>
          <smooth val="0"/>
        </ser>
        <ser>
          <idx val="3"/>
          <order val="3"/>
          <tx>
            <strRef>
              <f>'B3SMD 09 dG 2e_HDH'!Q1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09 dG 2e_HDH'!$P$2:$P$3</f>
            </numRef>
          </xVal>
          <yVal>
            <numRef>
              <f>'B3SMD 09 dG 2e_HDH'!$Q$2:$Q$3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10"/>
          <min val="-23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+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ArH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6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10 dG act_concerted'!B1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10 dG act_concerted'!$D$2:$D$8</f>
              </numRef>
            </minus>
            <plus>
              <numRef>
                <f>'B3SMD 10 dG act_concerted'!$D$2:$D$8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10 dG act_concerted'!$A$2:$A$8</f>
            </numRef>
          </xVal>
          <yVal>
            <numRef>
              <f>'B3SMD 10 dG act_concerted'!$B$2:$B$8</f>
            </numRef>
          </yVal>
          <smooth val="0"/>
        </ser>
        <ser>
          <idx val="1"/>
          <order val="1"/>
          <tx>
            <strRef>
              <f>'B3SMD 10 dG act_concerted'!H1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655"/>
                  <y val="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10 dG act_concerted'!$G$2:$G$6</f>
            </numRef>
          </xVal>
          <yVal>
            <numRef>
              <f>'B3SMD 10 dG act_concerted'!$H$2:$H$6</f>
            </numRef>
          </yVal>
          <smooth val="0"/>
        </ser>
        <ser>
          <idx val="2"/>
          <order val="2"/>
          <tx>
            <strRef>
              <f>'B3SMD 10 dG act_concerted'!L1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10 dG act_concerted'!$N$2:$N$3</f>
              </numRef>
            </minus>
            <plus>
              <numRef>
                <f>'B3SMD 10 dG act_concerted'!$N$2:$N$3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10 dG act_concerted'!$K$2:$K$3</f>
            </numRef>
          </xVal>
          <yVal>
            <numRef>
              <f>'B3SMD 10 dG act_concerted'!$L$2:$L$3</f>
            </numRef>
          </yVal>
          <smooth val="0"/>
        </ser>
        <ser>
          <idx val="3"/>
          <order val="3"/>
          <tx>
            <strRef>
              <f>'B3SMD 10 dG act_concerted'!Q1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10 dG act_concerted'!$P$2:$P$3</f>
            </numRef>
          </xVal>
          <yVal>
            <numRef>
              <f>'B3SMD 10 dG act_concerted'!$Q$2:$Q$3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25"/>
          <min val="1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Savéant concerted barrier at −2.0 V (kcal/mol)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11 LUMO_RA'!B1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238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11 LUMO_RA'!$D$2:$D$8</f>
              </numRef>
            </minus>
            <plus>
              <numRef>
                <f>'B3SMD 11 LUMO_RA'!$D$2:$D$8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11 LUMO_RA'!$A$2:$A$8</f>
            </numRef>
          </xVal>
          <yVal>
            <numRef>
              <f>'B3SMD 11 LUMO_RA'!$B$2:$B$8</f>
            </numRef>
          </yVal>
          <smooth val="0"/>
        </ser>
        <ser>
          <idx val="1"/>
          <order val="1"/>
          <tx>
            <strRef>
              <f>'B3SMD 11 LUMO_RA'!H1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11 LUMO_RA'!$G$2:$G$6</f>
            </numRef>
          </xVal>
          <yVal>
            <numRef>
              <f>'B3SMD 11 LUMO_RA'!$H$2:$H$6</f>
            </numRef>
          </yVal>
          <smooth val="0"/>
        </ser>
        <ser>
          <idx val="2"/>
          <order val="2"/>
          <tx>
            <strRef>
              <f>'B3SMD 11 LUMO_RA'!L1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11 LUMO_RA'!$N$2:$N$2</f>
              </numRef>
            </minus>
            <plus>
              <numRef>
                <f>'B3SMD 11 LUMO_RA'!$N$2:$N$2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11 LUMO_RA'!$K$2</f>
            </numRef>
          </xVal>
          <yVal>
            <numRef>
              <f>'B3SMD 11 LUMO_RA'!$L$2</f>
            </numRef>
          </yVal>
          <smooth val="0"/>
        </ser>
        <ser>
          <idx val="3"/>
          <order val="3"/>
          <tx>
            <strRef>
              <f>'B3SMD 11 LUMO_RA'!Q1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11 LUMO_RA'!$P$2:$P$3</f>
            </numRef>
          </xVal>
          <yVal>
            <numRef>
              <f>'B3SMD 11 LUMO_RA'!$Q$2:$Q$3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"/>
          <min val="-4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the radical anion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(eV)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8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12 dG ET_any'!B1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12 dG ET_any'!$D$2:$D$8</f>
              </numRef>
            </minus>
            <plus>
              <numRef>
                <f>'B3SMD 12 dG ET_any'!$D$2:$D$8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12 dG ET_any'!$A$2:$A$8</f>
            </numRef>
          </xVal>
          <yVal>
            <numRef>
              <f>'B3SMD 12 dG ET_any'!$B$2:$B$8</f>
            </numRef>
          </yVal>
          <smooth val="0"/>
        </ser>
        <ser>
          <idx val="1"/>
          <order val="1"/>
          <tx>
            <strRef>
              <f>'B3SMD 12 dG ET_any'!H1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1"/>
                  <y val="-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12 dG ET_any'!$G$2:$G$6</f>
            </numRef>
          </xVal>
          <yVal>
            <numRef>
              <f>'B3SMD 12 dG ET_any'!$H$2:$H$6</f>
            </numRef>
          </yVal>
          <smooth val="0"/>
        </ser>
        <ser>
          <idx val="2"/>
          <order val="2"/>
          <tx>
            <strRef>
              <f>'B3SMD 12 dG ET_any'!L1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12 dG ET_any'!$N$2:$N$2</f>
              </numRef>
            </minus>
            <plus>
              <numRef>
                <f>'B3SMD 12 dG ET_any'!$N$2:$N$2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12 dG ET_any'!$K$2</f>
            </numRef>
          </xVal>
          <yVal>
            <numRef>
              <f>'B3SMD 12 dG ET_any'!$L$2</f>
            </numRef>
          </yVal>
          <smooth val="0"/>
        </ser>
        <ser>
          <idx val="3"/>
          <order val="3"/>
          <tx>
            <strRef>
              <f>'B3SMD 12 dG ET_any'!Q1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12 dG ET_any'!$P$2:$P$3</f>
            </numRef>
          </xVal>
          <yVal>
            <numRef>
              <f>'B3SMD 12 dG ET_any'!$Q$2:$Q$3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30"/>
          <min val="-8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9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13 VEA'!B1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13 VEA'!$D$2:$D$8</f>
              </numRef>
            </minus>
            <plus>
              <numRef>
                <f>'B3SMD 13 VEA'!$D$2:$D$8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13 VEA'!$A$2:$A$8</f>
            </numRef>
          </xVal>
          <yVal>
            <numRef>
              <f>'B3SMD 13 VEA'!$B$2:$B$8</f>
            </numRef>
          </yVal>
          <smooth val="0"/>
        </ser>
        <ser>
          <idx val="1"/>
          <order val="1"/>
          <tx>
            <strRef>
              <f>'B3SMD 13 VEA'!H1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13 VEA'!$G$2:$G$6</f>
            </numRef>
          </xVal>
          <yVal>
            <numRef>
              <f>'B3SMD 13 VEA'!$H$2:$H$6</f>
            </numRef>
          </yVal>
          <smooth val="0"/>
        </ser>
        <ser>
          <idx val="2"/>
          <order val="2"/>
          <tx>
            <strRef>
              <f>'B3SMD 13 VEA'!L1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175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13 VEA'!$N$2:$N$3</f>
              </numRef>
            </minus>
            <plus>
              <numRef>
                <f>'B3SMD 13 VEA'!$N$2:$N$3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13 VEA'!$K$2:$K$3</f>
            </numRef>
          </xVal>
          <yVal>
            <numRef>
              <f>'B3SMD 13 VEA'!$L$2:$L$3</f>
            </numRef>
          </yVal>
          <smooth val="0"/>
        </ser>
        <ser>
          <idx val="3"/>
          <order val="3"/>
          <tx>
            <strRef>
              <f>'B3SMD 13 VEA'!Q1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13 VEA'!$P$2:$P$3</f>
            </numRef>
          </xVal>
          <yVal>
            <numRef>
              <f>'B3SMD 13 VEA'!$Q$2:$Q$3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3"/>
          <min val="0.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vertical electron affinity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0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14 omega_dSCF'!B1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14 omega_dSCF'!$D$2:$D$8</f>
              </numRef>
            </minus>
            <plus>
              <numRef>
                <f>'B3SMD 14 omega_dSCF'!$D$2:$D$8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14 omega_dSCF'!$A$2:$A$8</f>
            </numRef>
          </xVal>
          <yVal>
            <numRef>
              <f>'B3SMD 14 omega_dSCF'!$B$2:$B$8</f>
            </numRef>
          </yVal>
          <smooth val="0"/>
        </ser>
        <ser>
          <idx val="1"/>
          <order val="1"/>
          <tx>
            <strRef>
              <f>'B3SMD 14 omega_dSCF'!H1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381"/>
                  <y val="-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14 omega_dSCF'!$G$2:$G$6</f>
            </numRef>
          </xVal>
          <yVal>
            <numRef>
              <f>'B3SMD 14 omega_dSCF'!$H$2:$H$6</f>
            </numRef>
          </yVal>
          <smooth val="0"/>
        </ser>
        <ser>
          <idx val="2"/>
          <order val="2"/>
          <tx>
            <strRef>
              <f>'B3SMD 14 omega_dSCF'!L1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238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14 omega_dSCF'!$N$2:$N$3</f>
              </numRef>
            </minus>
            <plus>
              <numRef>
                <f>'B3SMD 14 omega_dSCF'!$N$2:$N$3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14 omega_dSCF'!$K$2:$K$3</f>
            </numRef>
          </xVal>
          <yVal>
            <numRef>
              <f>'B3SMD 14 omega_dSCF'!$L$2:$L$3</f>
            </numRef>
          </yVal>
          <smooth val="0"/>
        </ser>
        <ser>
          <idx val="3"/>
          <order val="3"/>
          <tx>
            <strRef>
              <f>'B3SMD 14 omega_dSCF'!Q1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14 omega_dSCF'!$P$2:$P$3</f>
            </numRef>
          </xVal>
          <yVal>
            <numRef>
              <f>'B3SMD 14 omega_dSCF'!$Q$2:$Q$3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3"/>
          <min val="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electrophilicity index (ΔSCF)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15 dG 1e'!B1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476"/>
                  <y val="-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15 dG 1e'!$D$2:$D$8</f>
              </numRef>
            </minus>
            <plus>
              <numRef>
                <f>'B3SMD 15 dG 1e'!$D$2:$D$8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15 dG 1e'!$A$2:$A$8</f>
            </numRef>
          </xVal>
          <yVal>
            <numRef>
              <f>'B3SMD 15 dG 1e'!$B$2:$B$8</f>
            </numRef>
          </yVal>
          <smooth val="0"/>
        </ser>
        <ser>
          <idx val="1"/>
          <order val="1"/>
          <tx>
            <strRef>
              <f>'B3SMD 15 dG 1e'!H1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381"/>
                  <y val="-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15 dG 1e'!$G$2:$G$6</f>
            </numRef>
          </xVal>
          <yVal>
            <numRef>
              <f>'B3SMD 15 dG 1e'!$H$2:$H$6</f>
            </numRef>
          </yVal>
          <smooth val="0"/>
        </ser>
        <ser>
          <idx val="2"/>
          <order val="2"/>
          <tx>
            <strRef>
              <f>'B3SMD 15 dG 1e'!L1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15 dG 1e'!$N$2:$N$3</f>
              </numRef>
            </minus>
            <plus>
              <numRef>
                <f>'B3SMD 15 dG 1e'!$N$2:$N$3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15 dG 1e'!$K$2:$K$3</f>
            </numRef>
          </xVal>
          <yVal>
            <numRef>
              <f>'B3SMD 15 dG 1e'!$L$2:$L$3</f>
            </numRef>
          </yVal>
          <smooth val="0"/>
        </ser>
        <ser>
          <idx val="3"/>
          <order val="3"/>
          <tx>
            <strRef>
              <f>'B3SMD 15 dG 1e'!Q1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15 dG 1e'!$P$2:$P$3</f>
            </numRef>
          </xVal>
          <yVal>
            <numRef>
              <f>'B3SMD 15 dG 1e'!$Q$2:$Q$3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62.5"/>
          <min val="-77.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16 BDE'!B1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0.0296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16 BDE'!$D$2:$D$8</f>
              </numRef>
            </minus>
            <plus>
              <numRef>
                <f>'B3SMD 16 BDE'!$D$2:$D$8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16 BDE'!$A$2:$A$8</f>
            </numRef>
          </xVal>
          <yVal>
            <numRef>
              <f>'B3SMD 16 BDE'!$B$2:$B$8</f>
            </numRef>
          </yVal>
          <smooth val="0"/>
        </ser>
        <ser>
          <idx val="1"/>
          <order val="1"/>
          <tx>
            <strRef>
              <f>'B3SMD 16 BDE'!H1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16 BDE'!$G$2:$G$6</f>
            </numRef>
          </xVal>
          <yVal>
            <numRef>
              <f>'B3SMD 16 BDE'!$H$2:$H$6</f>
            </numRef>
          </yVal>
          <smooth val="0"/>
        </ser>
        <ser>
          <idx val="2"/>
          <order val="2"/>
          <tx>
            <strRef>
              <f>'B3SMD 16 BDE'!L1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16 BDE'!$N$2:$N$3</f>
              </numRef>
            </minus>
            <plus>
              <numRef>
                <f>'B3SMD 16 BDE'!$N$2:$N$3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16 BDE'!$K$2:$K$3</f>
            </numRef>
          </xVal>
          <yVal>
            <numRef>
              <f>'B3SMD 16 BDE'!$L$2:$L$3</f>
            </numRef>
          </yVal>
          <smooth val="0"/>
        </ser>
        <ser>
          <idx val="3"/>
          <order val="3"/>
          <tx>
            <strRef>
              <f>'B3SMD 16 BDE'!Q1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16 BDE'!$P$2:$P$3</f>
            </numRef>
          </xVal>
          <yVal>
            <numRef>
              <f>'B3SMD 16 BDE'!$Q$2:$Q$3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6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C–X bond enthalpy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17 dr_CX_RA'!B1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175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17 dr_CX_RA'!$D$2:$D$8</f>
              </numRef>
            </minus>
            <plus>
              <numRef>
                <f>'B3SMD 17 dr_CX_RA'!$D$2:$D$8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17 dr_CX_RA'!$A$2:$A$8</f>
            </numRef>
          </xVal>
          <yVal>
            <numRef>
              <f>'B3SMD 17 dr_CX_RA'!$B$2:$B$8</f>
            </numRef>
          </yVal>
          <smooth val="0"/>
        </ser>
        <ser>
          <idx val="1"/>
          <order val="1"/>
          <tx>
            <strRef>
              <f>'B3SMD 17 dr_CX_RA'!H1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1"/>
                  <y val="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17 dr_CX_RA'!$G$2:$G$6</f>
            </numRef>
          </xVal>
          <yVal>
            <numRef>
              <f>'B3SMD 17 dr_CX_RA'!$H$2:$H$6</f>
            </numRef>
          </yVal>
          <smooth val="0"/>
        </ser>
        <ser>
          <idx val="2"/>
          <order val="2"/>
          <tx>
            <strRef>
              <f>'B3SMD 17 dr_CX_RA'!L1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17 dr_CX_RA'!$N$2:$N$2</f>
              </numRef>
            </minus>
            <plus>
              <numRef>
                <f>'B3SMD 17 dr_CX_RA'!$N$2:$N$2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17 dr_CX_RA'!$K$2</f>
            </numRef>
          </xVal>
          <yVal>
            <numRef>
              <f>'B3SMD 17 dr_CX_RA'!$L$2</f>
            </numRef>
          </yVal>
          <smooth val="0"/>
        </ser>
        <ser>
          <idx val="3"/>
          <order val="3"/>
          <tx>
            <strRef>
              <f>'B3SMD 17 dr_CX_RA'!Q1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17 dr_CX_RA'!$P$2:$P$3</f>
            </numRef>
          </xVal>
          <yVal>
            <numRef>
              <f>'B3SMD 17 dr_CX_RA'!$Q$2:$Q$3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-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C–X elongation in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(Å)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'B3SMD 18 fplus_CX'!B1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18 fplus_CX'!$D$2:$D$8</f>
              </numRef>
            </minus>
            <plus>
              <numRef>
                <f>'B3SMD 18 fplus_CX'!$D$2:$D$8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18 fplus_CX'!$A$2:$A$8</f>
            </numRef>
          </xVal>
          <yVal>
            <numRef>
              <f>'B3SMD 18 fplus_CX'!$B$2:$B$8</f>
            </numRef>
          </yVal>
          <smooth val="0"/>
        </ser>
        <ser>
          <idx val="1"/>
          <order val="1"/>
          <tx>
            <strRef>
              <f>'B3SMD 18 fplus_CX'!H1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'B3SMD 18 fplus_CX'!$G$2:$G$6</f>
            </numRef>
          </xVal>
          <yVal>
            <numRef>
              <f>'B3SMD 18 fplus_CX'!$H$2:$H$6</f>
            </numRef>
          </yVal>
          <smooth val="0"/>
        </ser>
        <ser>
          <idx val="2"/>
          <order val="2"/>
          <tx>
            <strRef>
              <f>'B3SMD 18 fplus_CX'!L1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'B3SMD 18 fplus_CX'!$N$2:$N$3</f>
              </numRef>
            </minus>
            <plus>
              <numRef>
                <f>'B3SMD 18 fplus_CX'!$N$2:$N$3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'B3SMD 18 fplus_CX'!$K$2:$K$3</f>
            </numRef>
          </xVal>
          <yVal>
            <numRef>
              <f>'B3SMD 18 fplus_CX'!$L$2:$L$3</f>
            </numRef>
          </yVal>
          <smooth val="0"/>
        </ser>
        <ser>
          <idx val="3"/>
          <order val="3"/>
          <tx>
            <strRef>
              <f>'B3SMD 18 fplus_CX'!Q1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'B3SMD 18 fplus_CX'!$P$2:$P$3</f>
            </numRef>
          </xVal>
          <yVal>
            <numRef>
              <f>'B3SMD 18 fplus_CX'!$Q$2:$Q$3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.4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Fukui f+ on a C–X bond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1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01 dG rad_red'!B1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0.0296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01 dG rad_red'!$D$2:$D$8</f>
              </numRef>
            </minus>
            <plus>
              <numRef>
                <f>'M6gas 01 dG rad_red'!$D$2:$D$8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01 dG rad_red'!$A$2:$A$8</f>
            </numRef>
          </xVal>
          <yVal>
            <numRef>
              <f>'M6gas 01 dG rad_red'!$B$2:$B$8</f>
            </numRef>
          </yVal>
          <smooth val="0"/>
        </ser>
        <ser>
          <idx val="1"/>
          <order val="1"/>
          <tx>
            <strRef>
              <f>'M6gas 01 dG rad_red'!H1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01 dG rad_red'!$G$2:$G$6</f>
            </numRef>
          </xVal>
          <yVal>
            <numRef>
              <f>'M6gas 01 dG rad_red'!$H$2:$H$6</f>
            </numRef>
          </yVal>
          <smooth val="0"/>
        </ser>
        <ser>
          <idx val="2"/>
          <order val="2"/>
          <tx>
            <strRef>
              <f>'M6gas 01 dG rad_red'!L1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0.0296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01 dG rad_red'!$N$2:$N$3</f>
              </numRef>
            </minus>
            <plus>
              <numRef>
                <f>'M6gas 01 dG rad_red'!$N$2:$N$3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01 dG rad_red'!$K$2:$K$3</f>
            </numRef>
          </xVal>
          <yVal>
            <numRef>
              <f>'M6gas 01 dG rad_red'!$L$2:$L$3</f>
            </numRef>
          </yVal>
          <smooth val="0"/>
        </ser>
        <ser>
          <idx val="3"/>
          <order val="3"/>
          <tx>
            <strRef>
              <f>'M6gas 01 dG rad_red'!Q1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01 dG rad_red'!$P$2:$P$3</f>
            </numRef>
          </xVal>
          <yVal>
            <numRef>
              <f>'M6gas 01 dG rad_red'!$Q$2:$Q$3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0"/>
          <min val="-8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6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02 dG RA_2e_any'!B1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1"/>
                  <y val="-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02 dG RA_2e_any'!$D$2:$D$8</f>
              </numRef>
            </minus>
            <plus>
              <numRef>
                <f>'M6gas 02 dG RA_2e_any'!$D$2:$D$8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02 dG RA_2e_any'!$A$2:$A$8</f>
            </numRef>
          </xVal>
          <yVal>
            <numRef>
              <f>'M6gas 02 dG RA_2e_any'!$B$2:$B$8</f>
            </numRef>
          </yVal>
          <smooth val="0"/>
        </ser>
        <ser>
          <idx val="1"/>
          <order val="1"/>
          <tx>
            <strRef>
              <f>'M6gas 02 dG RA_2e_any'!H1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02 dG RA_2e_any'!$G$2:$G$6</f>
            </numRef>
          </xVal>
          <yVal>
            <numRef>
              <f>'M6gas 02 dG RA_2e_any'!$H$2:$H$6</f>
            </numRef>
          </yVal>
          <smooth val="0"/>
        </ser>
        <ser>
          <idx val="2"/>
          <order val="2"/>
          <tx>
            <strRef>
              <f>'M6gas 02 dG RA_2e_any'!L1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02 dG RA_2e_any'!$N$2:$N$3</f>
              </numRef>
            </minus>
            <plus>
              <numRef>
                <f>'M6gas 02 dG RA_2e_any'!$N$2:$N$3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02 dG RA_2e_any'!$K$2:$K$3</f>
            </numRef>
          </xVal>
          <yVal>
            <numRef>
              <f>'M6gas 02 dG RA_2e_any'!$L$2:$L$3</f>
            </numRef>
          </yVal>
          <smooth val="0"/>
        </ser>
        <ser>
          <idx val="3"/>
          <order val="3"/>
          <tx>
            <strRef>
              <f>'M6gas 02 dG RA_2e_any'!Q1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02 dG RA_2e_any'!$P$2:$P$3</f>
            </numRef>
          </xVal>
          <yVal>
            <numRef>
              <f>'M6gas 02 dG RA_2e_any'!$Q$2:$Q$3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0"/>
          <min val="-6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7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03 dG frag_any'!B1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03 dG frag_any'!$D$2:$D$8</f>
              </numRef>
            </minus>
            <plus>
              <numRef>
                <f>'M6gas 03 dG frag_any'!$D$2:$D$8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03 dG frag_any'!$A$2:$A$8</f>
            </numRef>
          </xVal>
          <yVal>
            <numRef>
              <f>'M6gas 03 dG frag_any'!$B$2:$B$8</f>
            </numRef>
          </yVal>
          <smooth val="0"/>
        </ser>
        <ser>
          <idx val="1"/>
          <order val="1"/>
          <tx>
            <strRef>
              <f>'M6gas 03 dG frag_any'!H1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03 dG frag_any'!$G$2:$G$6</f>
            </numRef>
          </xVal>
          <yVal>
            <numRef>
              <f>'M6gas 03 dG frag_any'!$H$2:$H$6</f>
            </numRef>
          </yVal>
          <smooth val="0"/>
        </ser>
        <ser>
          <idx val="2"/>
          <order val="2"/>
          <tx>
            <strRef>
              <f>'M6gas 03 dG frag_any'!L1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03 dG frag_any'!$N$2:$N$3</f>
              </numRef>
            </minus>
            <plus>
              <numRef>
                <f>'M6gas 03 dG frag_any'!$N$2:$N$3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03 dG frag_any'!$K$2:$K$3</f>
            </numRef>
          </xVal>
          <yVal>
            <numRef>
              <f>'M6gas 03 dG frag_any'!$L$2:$L$3</f>
            </numRef>
          </yVal>
          <smooth val="0"/>
        </ser>
        <ser>
          <idx val="3"/>
          <order val="3"/>
          <tx>
            <strRef>
              <f>'M6gas 03 dG frag_any'!Q1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03 dG frag_any'!$P$2:$P$3</f>
            </numRef>
          </xVal>
          <yVal>
            <numRef>
              <f>'M6gas 03 dG frag_any'!$Q$2:$Q$3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30"/>
          <min val="-1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8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04 dG 2e_carbanion'!B1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04 dG 2e_carbanion'!$D$2:$D$8</f>
              </numRef>
            </minus>
            <plus>
              <numRef>
                <f>'M6gas 04 dG 2e_carbanion'!$D$2:$D$8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04 dG 2e_carbanion'!$A$2:$A$8</f>
            </numRef>
          </xVal>
          <yVal>
            <numRef>
              <f>'M6gas 04 dG 2e_carbanion'!$B$2:$B$8</f>
            </numRef>
          </yVal>
          <smooth val="0"/>
        </ser>
        <ser>
          <idx val="1"/>
          <order val="1"/>
          <tx>
            <strRef>
              <f>'M6gas 04 dG 2e_carbanion'!H1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04 dG 2e_carbanion'!$G$2:$G$6</f>
            </numRef>
          </xVal>
          <yVal>
            <numRef>
              <f>'M6gas 04 dG 2e_carbanion'!$H$2:$H$6</f>
            </numRef>
          </yVal>
          <smooth val="0"/>
        </ser>
        <ser>
          <idx val="2"/>
          <order val="2"/>
          <tx>
            <strRef>
              <f>'M6gas 04 dG 2e_carbanion'!L1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04 dG 2e_carbanion'!$N$2:$N$3</f>
              </numRef>
            </minus>
            <plus>
              <numRef>
                <f>'M6gas 04 dG 2e_carbanion'!$N$2:$N$3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04 dG 2e_carbanion'!$K$2:$K$3</f>
            </numRef>
          </xVal>
          <yVal>
            <numRef>
              <f>'M6gas 04 dG 2e_carbanion'!$L$2:$L$3</f>
            </numRef>
          </yVal>
          <smooth val="0"/>
        </ser>
        <ser>
          <idx val="3"/>
          <order val="3"/>
          <tx>
            <strRef>
              <f>'M6gas 04 dG 2e_carbanion'!Q1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04 dG 2e_carbanion'!$P$2:$P$3</f>
            </numRef>
          </xVal>
          <yVal>
            <numRef>
              <f>'M6gas 04 dG 2e_carbanion'!$Q$2:$Q$3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0"/>
          <min val="-10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9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05 dG ET_any'!B1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05 dG ET_any'!$D$2:$D$8</f>
              </numRef>
            </minus>
            <plus>
              <numRef>
                <f>'M6gas 05 dG ET_any'!$D$2:$D$8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05 dG ET_any'!$A$2:$A$8</f>
            </numRef>
          </xVal>
          <yVal>
            <numRef>
              <f>'M6gas 05 dG ET_any'!$B$2:$B$8</f>
            </numRef>
          </yVal>
          <smooth val="0"/>
        </ser>
        <ser>
          <idx val="1"/>
          <order val="1"/>
          <tx>
            <strRef>
              <f>'M6gas 05 dG ET_any'!H1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05 dG ET_any'!$G$2:$G$6</f>
            </numRef>
          </xVal>
          <yVal>
            <numRef>
              <f>'M6gas 05 dG ET_any'!$H$2:$H$6</f>
            </numRef>
          </yVal>
          <smooth val="0"/>
        </ser>
        <ser>
          <idx val="2"/>
          <order val="2"/>
          <tx>
            <strRef>
              <f>'M6gas 05 dG ET_any'!L1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05 dG ET_any'!$N$2:$N$3</f>
              </numRef>
            </minus>
            <plus>
              <numRef>
                <f>'M6gas 05 dG ET_any'!$N$2:$N$3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05 dG ET_any'!$K$2:$K$3</f>
            </numRef>
          </xVal>
          <yVal>
            <numRef>
              <f>'M6gas 05 dG ET_any'!$L$2:$L$3</f>
            </numRef>
          </yVal>
          <smooth val="0"/>
        </ser>
        <ser>
          <idx val="3"/>
          <order val="3"/>
          <tx>
            <strRef>
              <f>'M6gas 05 dG ET_any'!Q1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05 dG ET_any'!$P$2:$P$3</f>
            </numRef>
          </xVal>
          <yVal>
            <numRef>
              <f>'M6gas 05 dG ET_any'!$Q$2:$Q$3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-5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0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06 n_X'!B1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06 n_X'!$D$2:$D$8</f>
              </numRef>
            </minus>
            <plus>
              <numRef>
                <f>'M6gas 06 n_X'!$D$2:$D$8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06 n_X'!$A$2:$A$8</f>
            </numRef>
          </xVal>
          <yVal>
            <numRef>
              <f>'M6gas 06 n_X'!$B$2:$B$8</f>
            </numRef>
          </yVal>
          <smooth val="0"/>
        </ser>
        <ser>
          <idx val="1"/>
          <order val="1"/>
          <tx>
            <strRef>
              <f>'M6gas 06 n_X'!H1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06 n_X'!$G$2:$G$6</f>
            </numRef>
          </xVal>
          <yVal>
            <numRef>
              <f>'M6gas 06 n_X'!$H$2:$H$6</f>
            </numRef>
          </yVal>
          <smooth val="0"/>
        </ser>
        <ser>
          <idx val="2"/>
          <order val="2"/>
          <tx>
            <strRef>
              <f>'M6gas 06 n_X'!L1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06 n_X'!$N$2:$N$3</f>
              </numRef>
            </minus>
            <plus>
              <numRef>
                <f>'M6gas 06 n_X'!$N$2:$N$3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06 n_X'!$K$2:$K$3</f>
            </numRef>
          </xVal>
          <yVal>
            <numRef>
              <f>'M6gas 06 n_X'!$L$2:$L$3</f>
            </numRef>
          </yVal>
          <smooth val="0"/>
        </ser>
        <ser>
          <idx val="3"/>
          <order val="3"/>
          <tx>
            <strRef>
              <f>'M6gas 06 n_X'!Q1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06 n_X'!$P$2:$P$3</f>
            </numRef>
          </xVal>
          <yVal>
            <numRef>
              <f>'M6gas 06 n_X'!$Q$2:$Q$3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number of halogens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07 wiberg_CX_parent'!B1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07 wiberg_CX_parent'!$D$2:$D$8</f>
              </numRef>
            </minus>
            <plus>
              <numRef>
                <f>'M6gas 07 wiberg_CX_parent'!$D$2:$D$8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07 wiberg_CX_parent'!$A$2:$A$8</f>
            </numRef>
          </xVal>
          <yVal>
            <numRef>
              <f>'M6gas 07 wiberg_CX_parent'!$B$2:$B$8</f>
            </numRef>
          </yVal>
          <smooth val="0"/>
        </ser>
        <ser>
          <idx val="1"/>
          <order val="1"/>
          <tx>
            <strRef>
              <f>'M6gas 07 wiberg_CX_parent'!H1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07 wiberg_CX_parent'!$G$2:$G$6</f>
            </numRef>
          </xVal>
          <yVal>
            <numRef>
              <f>'M6gas 07 wiberg_CX_parent'!$H$2:$H$6</f>
            </numRef>
          </yVal>
          <smooth val="0"/>
        </ser>
        <ser>
          <idx val="2"/>
          <order val="2"/>
          <tx>
            <strRef>
              <f>'M6gas 07 wiberg_CX_parent'!L1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07 wiberg_CX_parent'!$N$2:$N$3</f>
              </numRef>
            </minus>
            <plus>
              <numRef>
                <f>'M6gas 07 wiberg_CX_parent'!$N$2:$N$3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07 wiberg_CX_parent'!$K$2:$K$3</f>
            </numRef>
          </xVal>
          <yVal>
            <numRef>
              <f>'M6gas 07 wiberg_CX_parent'!$L$2:$L$3</f>
            </numRef>
          </yVal>
          <smooth val="0"/>
        </ser>
        <ser>
          <idx val="3"/>
          <order val="3"/>
          <tx>
            <strRef>
              <f>'M6gas 07 wiberg_CX_parent'!Q1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07 wiberg_CX_parent'!$P$2:$P$3</f>
            </numRef>
          </xVal>
          <yVal>
            <numRef>
              <f>'M6gas 07 wiberg_CX_parent'!$Q$2:$Q$3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1"/>
          <min val="1.0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Wiberg C–X bond order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0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08 VEA'!B1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-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476"/>
                  <y val="-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08 VEA'!$D$2:$D$8</f>
              </numRef>
            </minus>
            <plus>
              <numRef>
                <f>'M6gas 08 VEA'!$D$2:$D$8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08 VEA'!$A$2:$A$8</f>
            </numRef>
          </xVal>
          <yVal>
            <numRef>
              <f>'M6gas 08 VEA'!$B$2:$B$8</f>
            </numRef>
          </yVal>
          <smooth val="0"/>
        </ser>
        <ser>
          <idx val="1"/>
          <order val="1"/>
          <tx>
            <strRef>
              <f>'M6gas 08 VEA'!H1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476"/>
                  <y val="-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08 VEA'!$G$2:$G$6</f>
            </numRef>
          </xVal>
          <yVal>
            <numRef>
              <f>'M6gas 08 VEA'!$H$2:$H$6</f>
            </numRef>
          </yVal>
          <smooth val="0"/>
        </ser>
        <ser>
          <idx val="2"/>
          <order val="2"/>
          <tx>
            <strRef>
              <f>'M6gas 08 VEA'!L1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08 VEA'!$N$2:$N$3</f>
              </numRef>
            </minus>
            <plus>
              <numRef>
                <f>'M6gas 08 VEA'!$N$2:$N$3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08 VEA'!$K$2:$K$3</f>
            </numRef>
          </xVal>
          <yVal>
            <numRef>
              <f>'M6gas 08 VEA'!$L$2:$L$3</f>
            </numRef>
          </yVal>
          <smooth val="0"/>
        </ser>
        <ser>
          <idx val="3"/>
          <order val="3"/>
          <tx>
            <strRef>
              <f>'M6gas 08 VEA'!Q1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08 VEA'!$P$2:$P$3</f>
            </numRef>
          </xVal>
          <yVal>
            <numRef>
              <f>'M6gas 08 VEA'!$Q$2:$Q$3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-1.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vertical electron affinity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09 dG 2e_HDH'!B1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175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09 dG 2e_HDH'!$D$2:$D$8</f>
              </numRef>
            </minus>
            <plus>
              <numRef>
                <f>'M6gas 09 dG 2e_HDH'!$D$2:$D$8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09 dG 2e_HDH'!$A$2:$A$8</f>
            </numRef>
          </xVal>
          <yVal>
            <numRef>
              <f>'M6gas 09 dG 2e_HDH'!$B$2:$B$8</f>
            </numRef>
          </yVal>
          <smooth val="0"/>
        </ser>
        <ser>
          <idx val="1"/>
          <order val="1"/>
          <tx>
            <strRef>
              <f>'M6gas 09 dG 2e_HDH'!H1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381"/>
                  <y val="-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09 dG 2e_HDH'!$G$2:$G$6</f>
            </numRef>
          </xVal>
          <yVal>
            <numRef>
              <f>'M6gas 09 dG 2e_HDH'!$H$2:$H$6</f>
            </numRef>
          </yVal>
          <smooth val="0"/>
        </ser>
        <ser>
          <idx val="2"/>
          <order val="2"/>
          <tx>
            <strRef>
              <f>'M6gas 09 dG 2e_HDH'!L1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09 dG 2e_HDH'!$N$2:$N$3</f>
              </numRef>
            </minus>
            <plus>
              <numRef>
                <f>'M6gas 09 dG 2e_HDH'!$N$2:$N$3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09 dG 2e_HDH'!$K$2:$K$3</f>
            </numRef>
          </xVal>
          <yVal>
            <numRef>
              <f>'M6gas 09 dG 2e_HDH'!$L$2:$L$3</f>
            </numRef>
          </yVal>
          <smooth val="0"/>
        </ser>
        <ser>
          <idx val="3"/>
          <order val="3"/>
          <tx>
            <strRef>
              <f>'M6gas 09 dG 2e_HDH'!Q1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09 dG 2e_HDH'!$P$2:$P$3</f>
            </numRef>
          </xVal>
          <yVal>
            <numRef>
              <f>'M6gas 09 dG 2e_HDH'!$Q$2:$Q$3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410"/>
          <min val="-43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+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ArH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10 omega_dSCF'!B1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10 omega_dSCF'!$D$2:$D$8</f>
              </numRef>
            </minus>
            <plus>
              <numRef>
                <f>'M6gas 10 omega_dSCF'!$D$2:$D$8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10 omega_dSCF'!$A$2:$A$8</f>
            </numRef>
          </xVal>
          <yVal>
            <numRef>
              <f>'M6gas 10 omega_dSCF'!$B$2:$B$8</f>
            </numRef>
          </yVal>
          <smooth val="0"/>
        </ser>
        <ser>
          <idx val="1"/>
          <order val="1"/>
          <tx>
            <strRef>
              <f>'M6gas 10 omega_dSCF'!H1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10 omega_dSCF'!$G$2:$G$6</f>
            </numRef>
          </xVal>
          <yVal>
            <numRef>
              <f>'M6gas 10 omega_dSCF'!$H$2:$H$6</f>
            </numRef>
          </yVal>
          <smooth val="0"/>
        </ser>
        <ser>
          <idx val="2"/>
          <order val="2"/>
          <tx>
            <strRef>
              <f>'M6gas 10 omega_dSCF'!L1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476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10 omega_dSCF'!$N$2:$N$3</f>
              </numRef>
            </minus>
            <plus>
              <numRef>
                <f>'M6gas 10 omega_dSCF'!$N$2:$N$3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10 omega_dSCF'!$K$2:$K$3</f>
            </numRef>
          </xVal>
          <yVal>
            <numRef>
              <f>'M6gas 10 omega_dSCF'!$L$2:$L$3</f>
            </numRef>
          </yVal>
          <smooth val="0"/>
        </ser>
        <ser>
          <idx val="3"/>
          <order val="3"/>
          <tx>
            <strRef>
              <f>'M6gas 10 omega_dSCF'!Q1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10 omega_dSCF'!$P$2:$P$3</f>
            </numRef>
          </xVal>
          <yVal>
            <numRef>
              <f>'M6gas 10 omega_dSCF'!$Q$2:$Q$3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6"/>
          <min val="0.6000000000000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electrophilicity index (ΔSCF)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11 LUMO'!B1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1"/>
                  <y val="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11 LUMO'!$D$2:$D$8</f>
              </numRef>
            </minus>
            <plus>
              <numRef>
                <f>'M6gas 11 LUMO'!$D$2:$D$8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11 LUMO'!$A$2:$A$8</f>
            </numRef>
          </xVal>
          <yVal>
            <numRef>
              <f>'M6gas 11 LUMO'!$B$2:$B$8</f>
            </numRef>
          </yVal>
          <smooth val="0"/>
        </ser>
        <ser>
          <idx val="1"/>
          <order val="1"/>
          <tx>
            <strRef>
              <f>'M6gas 11 LUMO'!H1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381"/>
                  <y val="-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1"/>
                  <y val="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11 LUMO'!$G$2:$G$6</f>
            </numRef>
          </xVal>
          <yVal>
            <numRef>
              <f>'M6gas 11 LUMO'!$H$2:$H$6</f>
            </numRef>
          </yVal>
          <smooth val="0"/>
        </ser>
        <ser>
          <idx val="2"/>
          <order val="2"/>
          <tx>
            <strRef>
              <f>'M6gas 11 LUMO'!L1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1"/>
                  <y val="-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11 LUMO'!$N$2:$N$3</f>
              </numRef>
            </minus>
            <plus>
              <numRef>
                <f>'M6gas 11 LUMO'!$N$2:$N$3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11 LUMO'!$K$2:$K$3</f>
            </numRef>
          </xVal>
          <yVal>
            <numRef>
              <f>'M6gas 11 LUMO'!$L$2:$L$3</f>
            </numRef>
          </yVal>
          <smooth val="0"/>
        </ser>
        <ser>
          <idx val="3"/>
          <order val="3"/>
          <tx>
            <strRef>
              <f>'M6gas 11 LUMO'!Q1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11 LUMO'!$P$2:$P$3</f>
            </numRef>
          </xVal>
          <yVal>
            <numRef>
              <f>'M6gas 11 LUMO'!$Q$2:$Q$3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"/>
          <min val="-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ArX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5600000000000001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6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12 dG 1e'!B1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12 dG 1e'!$D$2:$D$8</f>
              </numRef>
            </minus>
            <plus>
              <numRef>
                <f>'M6gas 12 dG 1e'!$D$2:$D$8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12 dG 1e'!$A$2:$A$8</f>
            </numRef>
          </xVal>
          <yVal>
            <numRef>
              <f>'M6gas 12 dG 1e'!$B$2:$B$8</f>
            </numRef>
          </yVal>
          <smooth val="0"/>
        </ser>
        <ser>
          <idx val="1"/>
          <order val="1"/>
          <tx>
            <strRef>
              <f>'M6gas 12 dG 1e'!H1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12 dG 1e'!$G$2:$G$6</f>
            </numRef>
          </xVal>
          <yVal>
            <numRef>
              <f>'M6gas 12 dG 1e'!$H$2:$H$6</f>
            </numRef>
          </yVal>
          <smooth val="0"/>
        </ser>
        <ser>
          <idx val="2"/>
          <order val="2"/>
          <tx>
            <strRef>
              <f>'M6gas 12 dG 1e'!L1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12 dG 1e'!$N$2:$N$3</f>
              </numRef>
            </minus>
            <plus>
              <numRef>
                <f>'M6gas 12 dG 1e'!$N$2:$N$3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12 dG 1e'!$K$2:$K$3</f>
            </numRef>
          </xVal>
          <yVal>
            <numRef>
              <f>'M6gas 12 dG 1e'!$L$2:$L$3</f>
            </numRef>
          </yVal>
          <smooth val="0"/>
        </ser>
        <ser>
          <idx val="3"/>
          <order val="3"/>
          <tx>
            <strRef>
              <f>'M6gas 12 dG 1e'!Q1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12 dG 1e'!$P$2:$P$3</f>
            </numRef>
          </xVal>
          <yVal>
            <numRef>
              <f>'M6gas 12 dG 1e'!$Q$2:$Q$3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5"/>
          <min val="-2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7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13 BDE'!B1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13 BDE'!$D$2:$D$8</f>
              </numRef>
            </minus>
            <plus>
              <numRef>
                <f>'M6gas 13 BDE'!$D$2:$D$8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13 BDE'!$A$2:$A$8</f>
            </numRef>
          </xVal>
          <yVal>
            <numRef>
              <f>'M6gas 13 BDE'!$B$2:$B$8</f>
            </numRef>
          </yVal>
          <smooth val="0"/>
        </ser>
        <ser>
          <idx val="1"/>
          <order val="1"/>
          <tx>
            <strRef>
              <f>'M6gas 13 BDE'!H1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13 BDE'!$G$2:$G$6</f>
            </numRef>
          </xVal>
          <yVal>
            <numRef>
              <f>'M6gas 13 BDE'!$H$2:$H$6</f>
            </numRef>
          </yVal>
          <smooth val="0"/>
        </ser>
        <ser>
          <idx val="2"/>
          <order val="2"/>
          <tx>
            <strRef>
              <f>'M6gas 13 BDE'!L1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13 BDE'!$N$2:$N$3</f>
              </numRef>
            </minus>
            <plus>
              <numRef>
                <f>'M6gas 13 BDE'!$N$2:$N$3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13 BDE'!$K$2:$K$3</f>
            </numRef>
          </xVal>
          <yVal>
            <numRef>
              <f>'M6gas 13 BDE'!$L$2:$L$3</f>
            </numRef>
          </yVal>
          <smooth val="0"/>
        </ser>
        <ser>
          <idx val="3"/>
          <order val="3"/>
          <tx>
            <strRef>
              <f>'M6gas 13 BDE'!Q1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13 BDE'!$P$2:$P$3</f>
            </numRef>
          </xVal>
          <yVal>
            <numRef>
              <f>'M6gas 13 BDE'!$Q$2:$Q$3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6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C–X bond enthalpy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8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14 LUMO_RA'!B1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14 LUMO_RA'!$D$2:$D$8</f>
              </numRef>
            </minus>
            <plus>
              <numRef>
                <f>'M6gas 14 LUMO_RA'!$D$2:$D$8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14 LUMO_RA'!$A$2:$A$8</f>
            </numRef>
          </xVal>
          <yVal>
            <numRef>
              <f>'M6gas 14 LUMO_RA'!$B$2:$B$8</f>
            </numRef>
          </yVal>
          <smooth val="0"/>
        </ser>
        <ser>
          <idx val="1"/>
          <order val="1"/>
          <tx>
            <strRef>
              <f>'M6gas 14 LUMO_RA'!H1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75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14 LUMO_RA'!$G$2:$G$6</f>
            </numRef>
          </xVal>
          <yVal>
            <numRef>
              <f>'M6gas 14 LUMO_RA'!$H$2:$H$6</f>
            </numRef>
          </yVal>
          <smooth val="0"/>
        </ser>
        <ser>
          <idx val="2"/>
          <order val="2"/>
          <tx>
            <strRef>
              <f>'M6gas 14 LUMO_RA'!L1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14 LUMO_RA'!$N$2:$N$3</f>
              </numRef>
            </minus>
            <plus>
              <numRef>
                <f>'M6gas 14 LUMO_RA'!$N$2:$N$3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14 LUMO_RA'!$K$2:$K$3</f>
            </numRef>
          </xVal>
          <yVal>
            <numRef>
              <f>'M6gas 14 LUMO_RA'!$L$2:$L$3</f>
            </numRef>
          </yVal>
          <smooth val="0"/>
        </ser>
        <ser>
          <idx val="3"/>
          <order val="3"/>
          <tx>
            <strRef>
              <f>'M6gas 14 LUMO_RA'!Q1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14 LUMO_RA'!$P$2:$P$3</f>
            </numRef>
          </xVal>
          <yVal>
            <numRef>
              <f>'M6gas 14 LUMO_RA'!$Q$2:$Q$3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3.5"/>
          <min val="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the radical anion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9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15 dr_CX_RA'!B1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15 dr_CX_RA'!$D$2:$D$8</f>
              </numRef>
            </minus>
            <plus>
              <numRef>
                <f>'M6gas 15 dr_CX_RA'!$D$2:$D$8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15 dr_CX_RA'!$A$2:$A$8</f>
            </numRef>
          </xVal>
          <yVal>
            <numRef>
              <f>'M6gas 15 dr_CX_RA'!$B$2:$B$8</f>
            </numRef>
          </yVal>
          <smooth val="0"/>
        </ser>
        <ser>
          <idx val="1"/>
          <order val="1"/>
          <tx>
            <strRef>
              <f>'M6gas 15 dr_CX_RA'!H1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15 dr_CX_RA'!$G$2:$G$6</f>
            </numRef>
          </xVal>
          <yVal>
            <numRef>
              <f>'M6gas 15 dr_CX_RA'!$H$2:$H$6</f>
            </numRef>
          </yVal>
          <smooth val="0"/>
        </ser>
        <ser>
          <idx val="2"/>
          <order val="2"/>
          <tx>
            <strRef>
              <f>'M6gas 15 dr_CX_RA'!L1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15 dr_CX_RA'!$N$2:$N$3</f>
              </numRef>
            </minus>
            <plus>
              <numRef>
                <f>'M6gas 15 dr_CX_RA'!$N$2:$N$3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15 dr_CX_RA'!$K$2:$K$3</f>
            </numRef>
          </xVal>
          <yVal>
            <numRef>
              <f>'M6gas 15 dr_CX_RA'!$L$2:$L$3</f>
            </numRef>
          </yVal>
          <smooth val="0"/>
        </ser>
        <ser>
          <idx val="3"/>
          <order val="3"/>
          <tx>
            <strRef>
              <f>'M6gas 15 dr_CX_RA'!Q1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15 dr_CX_RA'!$P$2:$P$3</f>
            </numRef>
          </xVal>
          <yVal>
            <numRef>
              <f>'M6gas 15 dr_CX_RA'!$Q$2:$Q$3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25"/>
          <min val="-0.2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C–X elongation in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(Å)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2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0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'M6gas 16 fplus_CX'!B1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16 fplus_CX'!$D$2:$D$8</f>
              </numRef>
            </minus>
            <plus>
              <numRef>
                <f>'M6gas 16 fplus_CX'!$D$2:$D$8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16 fplus_CX'!$A$2:$A$8</f>
            </numRef>
          </xVal>
          <yVal>
            <numRef>
              <f>'M6gas 16 fplus_CX'!$B$2:$B$8</f>
            </numRef>
          </yVal>
          <smooth val="0"/>
        </ser>
        <ser>
          <idx val="1"/>
          <order val="1"/>
          <tx>
            <strRef>
              <f>'M6gas 16 fplus_CX'!H1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1"/>
                  <y val="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'M6gas 16 fplus_CX'!$G$2:$G$6</f>
            </numRef>
          </xVal>
          <yVal>
            <numRef>
              <f>'M6gas 16 fplus_CX'!$H$2:$H$6</f>
            </numRef>
          </yVal>
          <smooth val="0"/>
        </ser>
        <ser>
          <idx val="2"/>
          <order val="2"/>
          <tx>
            <strRef>
              <f>'M6gas 16 fplus_CX'!L1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'M6gas 16 fplus_CX'!$N$2:$N$3</f>
              </numRef>
            </minus>
            <plus>
              <numRef>
                <f>'M6gas 16 fplus_CX'!$N$2:$N$3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'M6gas 16 fplus_CX'!$K$2:$K$3</f>
            </numRef>
          </xVal>
          <yVal>
            <numRef>
              <f>'M6gas 16 fplus_CX'!$L$2:$L$3</f>
            </numRef>
          </yVal>
          <smooth val="0"/>
        </ser>
        <ser>
          <idx val="3"/>
          <order val="3"/>
          <tx>
            <strRef>
              <f>'M6gas 16 fplus_CX'!Q1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'M6gas 16 fplus_CX'!$P$2:$P$3</f>
            </numRef>
          </xVal>
          <yVal>
            <numRef>
              <f>'M6gas 16 fplus_CX'!$Q$2:$Q$3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.4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Fukui f+ on a C–X bond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1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01 dG rad_red'!B1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01 dG rad_red'!$D$2:$D$8</f>
              </numRef>
            </minus>
            <plus>
              <numRef>
                <f>'M6SMD 01 dG rad_red'!$D$2:$D$8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01 dG rad_red'!$A$2:$A$8</f>
            </numRef>
          </xVal>
          <yVal>
            <numRef>
              <f>'M6SMD 01 dG rad_red'!$B$2:$B$8</f>
            </numRef>
          </yVal>
          <smooth val="0"/>
        </ser>
        <ser>
          <idx val="1"/>
          <order val="1"/>
          <tx>
            <strRef>
              <f>'M6SMD 01 dG rad_red'!H1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0.096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01 dG rad_red'!$G$2:$G$6</f>
            </numRef>
          </xVal>
          <yVal>
            <numRef>
              <f>'M6SMD 01 dG rad_red'!$H$2:$H$6</f>
            </numRef>
          </yVal>
          <smooth val="0"/>
        </ser>
        <ser>
          <idx val="2"/>
          <order val="2"/>
          <tx>
            <strRef>
              <f>'M6SMD 01 dG rad_red'!L1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01 dG rad_red'!$N$2:$N$3</f>
              </numRef>
            </minus>
            <plus>
              <numRef>
                <f>'M6SMD 01 dG rad_red'!$N$2:$N$3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01 dG rad_red'!$K$2:$K$3</f>
            </numRef>
          </xVal>
          <yVal>
            <numRef>
              <f>'M6SMD 01 dG rad_red'!$L$2:$L$3</f>
            </numRef>
          </yVal>
          <smooth val="0"/>
        </ser>
        <ser>
          <idx val="3"/>
          <order val="3"/>
          <tx>
            <strRef>
              <f>'M6SMD 01 dG rad_red'!Q1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01 dG rad_red'!$P$2:$P$3</f>
            </numRef>
          </xVal>
          <yVal>
            <numRef>
              <f>'M6SMD 01 dG rad_red'!$Q$2:$Q$3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80"/>
          <min val="-12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02 wiberg_CX_parent'!B1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02 wiberg_CX_parent'!$D$2:$D$8</f>
              </numRef>
            </minus>
            <plus>
              <numRef>
                <f>'M6SMD 02 wiberg_CX_parent'!$D$2:$D$8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02 wiberg_CX_parent'!$A$2:$A$8</f>
            </numRef>
          </xVal>
          <yVal>
            <numRef>
              <f>'M6SMD 02 wiberg_CX_parent'!$B$2:$B$8</f>
            </numRef>
          </yVal>
          <smooth val="0"/>
        </ser>
        <ser>
          <idx val="1"/>
          <order val="1"/>
          <tx>
            <strRef>
              <f>'M6SMD 02 wiberg_CX_parent'!H1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02 wiberg_CX_parent'!$G$2:$G$6</f>
            </numRef>
          </xVal>
          <yVal>
            <numRef>
              <f>'M6SMD 02 wiberg_CX_parent'!$H$2:$H$6</f>
            </numRef>
          </yVal>
          <smooth val="0"/>
        </ser>
        <ser>
          <idx val="2"/>
          <order val="2"/>
          <tx>
            <strRef>
              <f>'M6SMD 02 wiberg_CX_parent'!L1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02 wiberg_CX_parent'!$N$2:$N$3</f>
              </numRef>
            </minus>
            <plus>
              <numRef>
                <f>'M6SMD 02 wiberg_CX_parent'!$N$2:$N$3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02 wiberg_CX_parent'!$K$2:$K$3</f>
            </numRef>
          </xVal>
          <yVal>
            <numRef>
              <f>'M6SMD 02 wiberg_CX_parent'!$L$2:$L$3</f>
            </numRef>
          </yVal>
          <smooth val="0"/>
        </ser>
        <ser>
          <idx val="3"/>
          <order val="3"/>
          <tx>
            <strRef>
              <f>'M6SMD 02 wiberg_CX_parent'!Q1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02 wiberg_CX_parent'!$P$2:$P$3</f>
            </numRef>
          </xVal>
          <yVal>
            <numRef>
              <f>'M6SMD 02 wiberg_CX_parent'!$Q$2:$Q$3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1"/>
          <min val="1.0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Wiberg C–X bond order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0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03 n_X'!B1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03 n_X'!$D$2:$D$8</f>
              </numRef>
            </minus>
            <plus>
              <numRef>
                <f>'M6SMD 03 n_X'!$D$2:$D$8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03 n_X'!$A$2:$A$8</f>
            </numRef>
          </xVal>
          <yVal>
            <numRef>
              <f>'M6SMD 03 n_X'!$B$2:$B$8</f>
            </numRef>
          </yVal>
          <smooth val="0"/>
        </ser>
        <ser>
          <idx val="1"/>
          <order val="1"/>
          <tx>
            <strRef>
              <f>'M6SMD 03 n_X'!H1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03 n_X'!$G$2:$G$6</f>
            </numRef>
          </xVal>
          <yVal>
            <numRef>
              <f>'M6SMD 03 n_X'!$H$2:$H$6</f>
            </numRef>
          </yVal>
          <smooth val="0"/>
        </ser>
        <ser>
          <idx val="2"/>
          <order val="2"/>
          <tx>
            <strRef>
              <f>'M6SMD 03 n_X'!L1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03 n_X'!$N$2:$N$3</f>
              </numRef>
            </minus>
            <plus>
              <numRef>
                <f>'M6SMD 03 n_X'!$N$2:$N$3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03 n_X'!$K$2:$K$3</f>
            </numRef>
          </xVal>
          <yVal>
            <numRef>
              <f>'M6SMD 03 n_X'!$L$2:$L$3</f>
            </numRef>
          </yVal>
          <smooth val="0"/>
        </ser>
        <ser>
          <idx val="3"/>
          <order val="3"/>
          <tx>
            <strRef>
              <f>'M6SMD 03 n_X'!Q1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03 n_X'!$P$2:$P$3</f>
            </numRef>
          </xVal>
          <yVal>
            <numRef>
              <f>'M6SMD 03 n_X'!$Q$2:$Q$3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number of halogens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04 dG 2e_carbanion'!B1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75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476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04 dG 2e_carbanion'!$D$2:$D$8</f>
              </numRef>
            </minus>
            <plus>
              <numRef>
                <f>'M6SMD 04 dG 2e_carbanion'!$D$2:$D$8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04 dG 2e_carbanion'!$A$2:$A$8</f>
            </numRef>
          </xVal>
          <yVal>
            <numRef>
              <f>'M6SMD 04 dG 2e_carbanion'!$B$2:$B$8</f>
            </numRef>
          </yVal>
          <smooth val="0"/>
        </ser>
        <ser>
          <idx val="1"/>
          <order val="1"/>
          <tx>
            <strRef>
              <f>'M6SMD 04 dG 2e_carbanion'!H1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04 dG 2e_carbanion'!$G$2:$G$6</f>
            </numRef>
          </xVal>
          <yVal>
            <numRef>
              <f>'M6SMD 04 dG 2e_carbanion'!$H$2:$H$6</f>
            </numRef>
          </yVal>
          <smooth val="0"/>
        </ser>
        <ser>
          <idx val="2"/>
          <order val="2"/>
          <tx>
            <strRef>
              <f>'M6SMD 04 dG 2e_carbanion'!L1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04 dG 2e_carbanion'!$N$2:$N$3</f>
              </numRef>
            </minus>
            <plus>
              <numRef>
                <f>'M6SMD 04 dG 2e_carbanion'!$N$2:$N$3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04 dG 2e_carbanion'!$K$2:$K$3</f>
            </numRef>
          </xVal>
          <yVal>
            <numRef>
              <f>'M6SMD 04 dG 2e_carbanion'!$L$2:$L$3</f>
            </numRef>
          </yVal>
          <smooth val="0"/>
        </ser>
        <ser>
          <idx val="3"/>
          <order val="3"/>
          <tx>
            <strRef>
              <f>'M6SMD 04 dG 2e_carbanion'!Q1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04 dG 2e_carbanion'!$P$2:$P$3</f>
            </numRef>
          </xVal>
          <yVal>
            <numRef>
              <f>'M6SMD 04 dG 2e_carbanion'!$Q$2:$Q$3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140"/>
          <min val="-19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05 dG0_act_concerted'!B1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05 dG0_act_concerted'!$D$2:$D$8</f>
              </numRef>
            </minus>
            <plus>
              <numRef>
                <f>'M6SMD 05 dG0_act_concerted'!$D$2:$D$8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05 dG0_act_concerted'!$A$2:$A$8</f>
            </numRef>
          </xVal>
          <yVal>
            <numRef>
              <f>'M6SMD 05 dG0_act_concerted'!$B$2:$B$8</f>
            </numRef>
          </yVal>
          <smooth val="0"/>
        </ser>
        <ser>
          <idx val="1"/>
          <order val="1"/>
          <tx>
            <strRef>
              <f>'M6SMD 05 dG0_act_concerted'!H1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05 dG0_act_concerted'!$G$2:$G$6</f>
            </numRef>
          </xVal>
          <yVal>
            <numRef>
              <f>'M6SMD 05 dG0_act_concerted'!$H$2:$H$6</f>
            </numRef>
          </yVal>
          <smooth val="0"/>
        </ser>
        <ser>
          <idx val="2"/>
          <order val="2"/>
          <tx>
            <strRef>
              <f>'M6SMD 05 dG0_act_concerted'!L1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05 dG0_act_concerted'!$N$2:$N$3</f>
              </numRef>
            </minus>
            <plus>
              <numRef>
                <f>'M6SMD 05 dG0_act_concerted'!$N$2:$N$3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05 dG0_act_concerted'!$K$2:$K$3</f>
            </numRef>
          </xVal>
          <yVal>
            <numRef>
              <f>'M6SMD 05 dG0_act_concerted'!$L$2:$L$3</f>
            </numRef>
          </yVal>
          <smooth val="0"/>
        </ser>
        <ser>
          <idx val="3"/>
          <order val="3"/>
          <tx>
            <strRef>
              <f>'M6SMD 05 dG0_act_concerted'!Q1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05 dG0_act_concerted'!$P$2:$P$3</f>
            </numRef>
          </xVal>
          <yVal>
            <numRef>
              <f>'M6SMD 05 dG0_act_concerted'!$Q$2:$Q$3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32"/>
          <min val="2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Savéant intrinsic barrier (weakest C–X)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6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06 VEA'!B1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06 VEA'!$D$2:$D$8</f>
              </numRef>
            </minus>
            <plus>
              <numRef>
                <f>'M6SMD 06 VEA'!$D$2:$D$8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06 VEA'!$A$2:$A$8</f>
            </numRef>
          </xVal>
          <yVal>
            <numRef>
              <f>'M6SMD 06 VEA'!$B$2:$B$8</f>
            </numRef>
          </yVal>
          <smooth val="0"/>
        </ser>
        <ser>
          <idx val="1"/>
          <order val="1"/>
          <tx>
            <strRef>
              <f>'M6SMD 06 VEA'!H1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476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06 VEA'!$G$2:$G$6</f>
            </numRef>
          </xVal>
          <yVal>
            <numRef>
              <f>'M6SMD 06 VEA'!$H$2:$H$6</f>
            </numRef>
          </yVal>
          <smooth val="0"/>
        </ser>
        <ser>
          <idx val="2"/>
          <order val="2"/>
          <tx>
            <strRef>
              <f>'M6SMD 06 VEA'!L1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06 VEA'!$N$2:$N$3</f>
              </numRef>
            </minus>
            <plus>
              <numRef>
                <f>'M6SMD 06 VEA'!$N$2:$N$3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06 VEA'!$K$2:$K$3</f>
            </numRef>
          </xVal>
          <yVal>
            <numRef>
              <f>'M6SMD 06 VEA'!$L$2:$L$3</f>
            </numRef>
          </yVal>
          <smooth val="0"/>
        </ser>
        <ser>
          <idx val="3"/>
          <order val="3"/>
          <tx>
            <strRef>
              <f>'M6SMD 06 VEA'!Q1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06 VEA'!$P$2:$P$3</f>
            </numRef>
          </xVal>
          <yVal>
            <numRef>
              <f>'M6SMD 06 VEA'!$Q$2:$Q$3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2.5"/>
          <min val="0.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vertical electron affinity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7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07 dG 2e_HDH'!B1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07 dG 2e_HDH'!$D$2:$D$8</f>
              </numRef>
            </minus>
            <plus>
              <numRef>
                <f>'M6SMD 07 dG 2e_HDH'!$D$2:$D$8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07 dG 2e_HDH'!$A$2:$A$8</f>
            </numRef>
          </xVal>
          <yVal>
            <numRef>
              <f>'M6SMD 07 dG 2e_HDH'!$B$2:$B$8</f>
            </numRef>
          </yVal>
          <smooth val="0"/>
        </ser>
        <ser>
          <idx val="1"/>
          <order val="1"/>
          <tx>
            <strRef>
              <f>'M6SMD 07 dG 2e_HDH'!H1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07 dG 2e_HDH'!$G$2:$G$6</f>
            </numRef>
          </xVal>
          <yVal>
            <numRef>
              <f>'M6SMD 07 dG 2e_HDH'!$H$2:$H$6</f>
            </numRef>
          </yVal>
          <smooth val="0"/>
        </ser>
        <ser>
          <idx val="2"/>
          <order val="2"/>
          <tx>
            <strRef>
              <f>'M6SMD 07 dG 2e_HDH'!L1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07 dG 2e_HDH'!$N$2:$N$3</f>
              </numRef>
            </minus>
            <plus>
              <numRef>
                <f>'M6SMD 07 dG 2e_HDH'!$N$2:$N$3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07 dG 2e_HDH'!$K$2:$K$3</f>
            </numRef>
          </xVal>
          <yVal>
            <numRef>
              <f>'M6SMD 07 dG 2e_HDH'!$L$2:$L$3</f>
            </numRef>
          </yVal>
          <smooth val="0"/>
        </ser>
        <ser>
          <idx val="3"/>
          <order val="3"/>
          <tx>
            <strRef>
              <f>'M6SMD 07 dG 2e_HDH'!Q1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07 dG 2e_HDH'!$P$2:$P$3</f>
            </numRef>
          </xVal>
          <yVal>
            <numRef>
              <f>'M6SMD 07 dG 2e_HDH'!$Q$2:$Q$3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05"/>
          <min val="-22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+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ArH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8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08 dG act_concerted'!B1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75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08 dG act_concerted'!$D$2:$D$8</f>
              </numRef>
            </minus>
            <plus>
              <numRef>
                <f>'M6SMD 08 dG act_concerted'!$D$2:$D$8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08 dG act_concerted'!$A$2:$A$8</f>
            </numRef>
          </xVal>
          <yVal>
            <numRef>
              <f>'M6SMD 08 dG act_concerted'!$B$2:$B$8</f>
            </numRef>
          </yVal>
          <smooth val="0"/>
        </ser>
        <ser>
          <idx val="1"/>
          <order val="1"/>
          <tx>
            <strRef>
              <f>'M6SMD 08 dG act_concerted'!H1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794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08 dG act_concerted'!$G$2:$G$6</f>
            </numRef>
          </xVal>
          <yVal>
            <numRef>
              <f>'M6SMD 08 dG act_concerted'!$H$2:$H$6</f>
            </numRef>
          </yVal>
          <smooth val="0"/>
        </ser>
        <ser>
          <idx val="2"/>
          <order val="2"/>
          <tx>
            <strRef>
              <f>'M6SMD 08 dG act_concerted'!L1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08 dG act_concerted'!$N$2:$N$3</f>
              </numRef>
            </minus>
            <plus>
              <numRef>
                <f>'M6SMD 08 dG act_concerted'!$N$2:$N$3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08 dG act_concerted'!$K$2:$K$3</f>
            </numRef>
          </xVal>
          <yVal>
            <numRef>
              <f>'M6SMD 08 dG act_concerted'!$L$2:$L$3</f>
            </numRef>
          </yVal>
          <smooth val="0"/>
        </ser>
        <ser>
          <idx val="3"/>
          <order val="3"/>
          <tx>
            <strRef>
              <f>'M6SMD 08 dG act_concerted'!Q1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08 dG act_concerted'!$P$2:$P$3</f>
            </numRef>
          </xVal>
          <yVal>
            <numRef>
              <f>'M6SMD 08 dG act_concerted'!$Q$2:$Q$3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27.5"/>
          <min val="1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Savéant concerted barrier at −2.0 V (kcal/mol)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9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09 dG act_combined'!B1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75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09 dG act_combined'!$D$2:$D$8</f>
              </numRef>
            </minus>
            <plus>
              <numRef>
                <f>'M6SMD 09 dG act_combined'!$D$2:$D$8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09 dG act_combined'!$A$2:$A$8</f>
            </numRef>
          </xVal>
          <yVal>
            <numRef>
              <f>'M6SMD 09 dG act_combined'!$B$2:$B$8</f>
            </numRef>
          </yVal>
          <smooth val="0"/>
        </ser>
        <ser>
          <idx val="1"/>
          <order val="1"/>
          <tx>
            <strRef>
              <f>'M6SMD 09 dG act_combined'!H1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794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09 dG act_combined'!$G$2:$G$6</f>
            </numRef>
          </xVal>
          <yVal>
            <numRef>
              <f>'M6SMD 09 dG act_combined'!$H$2:$H$6</f>
            </numRef>
          </yVal>
          <smooth val="0"/>
        </ser>
        <ser>
          <idx val="2"/>
          <order val="2"/>
          <tx>
            <strRef>
              <f>'M6SMD 09 dG act_combined'!L1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09 dG act_combined'!$N$2:$N$3</f>
              </numRef>
            </minus>
            <plus>
              <numRef>
                <f>'M6SMD 09 dG act_combined'!$N$2:$N$3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09 dG act_combined'!$K$2:$K$3</f>
            </numRef>
          </xVal>
          <yVal>
            <numRef>
              <f>'M6SMD 09 dG act_combined'!$L$2:$L$3</f>
            </numRef>
          </yVal>
          <smooth val="0"/>
        </ser>
        <ser>
          <idx val="3"/>
          <order val="3"/>
          <tx>
            <strRef>
              <f>'M6SMD 09 dG act_combined'!Q1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09 dG act_combined'!$P$2:$P$3</f>
            </numRef>
          </xVal>
          <yVal>
            <numRef>
              <f>'M6SMD 09 dG act_combined'!$Q$2:$Q$3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27.5"/>
          <min val="1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combined stepwise + concerted at −2.0 V (kcal/mol)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0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10 omega_dSCF'!B1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655"/>
                  <y val="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10 omega_dSCF'!$D$2:$D$8</f>
              </numRef>
            </minus>
            <plus>
              <numRef>
                <f>'M6SMD 10 omega_dSCF'!$D$2:$D$8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10 omega_dSCF'!$A$2:$A$8</f>
            </numRef>
          </xVal>
          <yVal>
            <numRef>
              <f>'M6SMD 10 omega_dSCF'!$B$2:$B$8</f>
            </numRef>
          </yVal>
          <smooth val="0"/>
        </ser>
        <ser>
          <idx val="1"/>
          <order val="1"/>
          <tx>
            <strRef>
              <f>'M6SMD 10 omega_dSCF'!H1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10 omega_dSCF'!$G$2:$G$6</f>
            </numRef>
          </xVal>
          <yVal>
            <numRef>
              <f>'M6SMD 10 omega_dSCF'!$H$2:$H$6</f>
            </numRef>
          </yVal>
          <smooth val="0"/>
        </ser>
        <ser>
          <idx val="2"/>
          <order val="2"/>
          <tx>
            <strRef>
              <f>'M6SMD 10 omega_dSCF'!L1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10 omega_dSCF'!$N$2:$N$3</f>
              </numRef>
            </minus>
            <plus>
              <numRef>
                <f>'M6SMD 10 omega_dSCF'!$N$2:$N$3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10 omega_dSCF'!$K$2:$K$3</f>
            </numRef>
          </xVal>
          <yVal>
            <numRef>
              <f>'M6SMD 10 omega_dSCF'!$L$2:$L$3</f>
            </numRef>
          </yVal>
          <smooth val="0"/>
        </ser>
        <ser>
          <idx val="3"/>
          <order val="3"/>
          <tx>
            <strRef>
              <f>'M6SMD 10 omega_dSCF'!Q1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10 omega_dSCF'!$P$2:$P$3</f>
            </numRef>
          </xVal>
          <yVal>
            <numRef>
              <f>'M6SMD 10 omega_dSCF'!$Q$2:$Q$3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2.5"/>
          <min val="1.2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electrophilicity index (ΔSCF) (eV)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2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11 LUMO'!B1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119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11 LUMO'!$D$2:$D$8</f>
              </numRef>
            </minus>
            <plus>
              <numRef>
                <f>'M6SMD 11 LUMO'!$D$2:$D$8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11 LUMO'!$A$2:$A$8</f>
            </numRef>
          </xVal>
          <yVal>
            <numRef>
              <f>'M6SMD 11 LUMO'!$B$2:$B$8</f>
            </numRef>
          </yVal>
          <smooth val="0"/>
        </ser>
        <ser>
          <idx val="1"/>
          <order val="1"/>
          <tx>
            <strRef>
              <f>'M6SMD 11 LUMO'!H1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381"/>
                  <y val="-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11 LUMO'!$G$2:$G$6</f>
            </numRef>
          </xVal>
          <yVal>
            <numRef>
              <f>'M6SMD 11 LUMO'!$H$2:$H$6</f>
            </numRef>
          </yVal>
          <smooth val="0"/>
        </ser>
        <ser>
          <idx val="2"/>
          <order val="2"/>
          <tx>
            <strRef>
              <f>'M6SMD 11 LUMO'!L1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11 LUMO'!$N$2:$N$3</f>
              </numRef>
            </minus>
            <plus>
              <numRef>
                <f>'M6SMD 11 LUMO'!$N$2:$N$3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11 LUMO'!$K$2:$K$3</f>
            </numRef>
          </xVal>
          <yVal>
            <numRef>
              <f>'M6SMD 11 LUMO'!$L$2:$L$3</f>
            </numRef>
          </yVal>
          <smooth val="0"/>
        </ser>
        <ser>
          <idx val="3"/>
          <order val="3"/>
          <tx>
            <strRef>
              <f>'M6SMD 11 LUMO'!Q1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11 LUMO'!$P$2:$P$3</f>
            </numRef>
          </xVal>
          <yVal>
            <numRef>
              <f>'M6SMD 11 LUMO'!$Q$2:$Q$3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.5"/>
          <min val="-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ArX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12 dG 1e'!B1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12 dG 1e'!$D$2:$D$8</f>
              </numRef>
            </minus>
            <plus>
              <numRef>
                <f>'M6SMD 12 dG 1e'!$D$2:$D$8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12 dG 1e'!$A$2:$A$8</f>
            </numRef>
          </xVal>
          <yVal>
            <numRef>
              <f>'M6SMD 12 dG 1e'!$B$2:$B$8</f>
            </numRef>
          </yVal>
          <smooth val="0"/>
        </ser>
        <ser>
          <idx val="1"/>
          <order val="1"/>
          <tx>
            <strRef>
              <f>'M6SMD 12 dG 1e'!H1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0.0296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12 dG 1e'!$G$2:$G$6</f>
            </numRef>
          </xVal>
          <yVal>
            <numRef>
              <f>'M6SMD 12 dG 1e'!$H$2:$H$6</f>
            </numRef>
          </yVal>
          <smooth val="0"/>
        </ser>
        <ser>
          <idx val="2"/>
          <order val="2"/>
          <tx>
            <strRef>
              <f>'M6SMD 12 dG 1e'!L1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175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12 dG 1e'!$N$2:$N$3</f>
              </numRef>
            </minus>
            <plus>
              <numRef>
                <f>'M6SMD 12 dG 1e'!$N$2:$N$3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12 dG 1e'!$K$2:$K$3</f>
            </numRef>
          </xVal>
          <yVal>
            <numRef>
              <f>'M6SMD 12 dG 1e'!$L$2:$L$3</f>
            </numRef>
          </yVal>
          <smooth val="0"/>
        </ser>
        <ser>
          <idx val="3"/>
          <order val="3"/>
          <tx>
            <strRef>
              <f>'M6SMD 12 dG 1e'!Q1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12 dG 1e'!$P$2:$P$3</f>
            </numRef>
          </xVal>
          <yVal>
            <numRef>
              <f>'M6SMD 12 dG 1e'!$Q$2:$Q$3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58"/>
          <min val="-68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13 BDE'!B1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13 BDE'!$D$2:$D$8</f>
              </numRef>
            </minus>
            <plus>
              <numRef>
                <f>'M6SMD 13 BDE'!$D$2:$D$8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13 BDE'!$A$2:$A$8</f>
            </numRef>
          </xVal>
          <yVal>
            <numRef>
              <f>'M6SMD 13 BDE'!$B$2:$B$8</f>
            </numRef>
          </yVal>
          <smooth val="0"/>
        </ser>
        <ser>
          <idx val="1"/>
          <order val="1"/>
          <tx>
            <strRef>
              <f>'M6SMD 13 BDE'!H1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13 BDE'!$G$2:$G$6</f>
            </numRef>
          </xVal>
          <yVal>
            <numRef>
              <f>'M6SMD 13 BDE'!$H$2:$H$6</f>
            </numRef>
          </yVal>
          <smooth val="0"/>
        </ser>
        <ser>
          <idx val="2"/>
          <order val="2"/>
          <tx>
            <strRef>
              <f>'M6SMD 13 BDE'!L1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13 BDE'!$N$2:$N$3</f>
              </numRef>
            </minus>
            <plus>
              <numRef>
                <f>'M6SMD 13 BDE'!$N$2:$N$3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13 BDE'!$K$2:$K$3</f>
            </numRef>
          </xVal>
          <yVal>
            <numRef>
              <f>'M6SMD 13 BDE'!$L$2:$L$3</f>
            </numRef>
          </yVal>
          <smooth val="0"/>
        </ser>
        <ser>
          <idx val="3"/>
          <order val="3"/>
          <tx>
            <strRef>
              <f>'M6SMD 13 BDE'!Q1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13 BDE'!$P$2:$P$3</f>
            </numRef>
          </xVal>
          <yVal>
            <numRef>
              <f>'M6SMD 13 BDE'!$Q$2:$Q$3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6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C–X bond enthalpy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14 fplus_CX'!B1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1"/>
                  <y val="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14 fplus_CX'!$D$2:$D$8</f>
              </numRef>
            </minus>
            <plus>
              <numRef>
                <f>'M6SMD 14 fplus_CX'!$D$2:$D$8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14 fplus_CX'!$A$2:$A$8</f>
            </numRef>
          </xVal>
          <yVal>
            <numRef>
              <f>'M6SMD 14 fplus_CX'!$B$2:$B$8</f>
            </numRef>
          </yVal>
          <smooth val="0"/>
        </ser>
        <ser>
          <idx val="1"/>
          <order val="1"/>
          <tx>
            <strRef>
              <f>'M6SMD 14 fplus_CX'!H1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14 fplus_CX'!$G$2:$G$6</f>
            </numRef>
          </xVal>
          <yVal>
            <numRef>
              <f>'M6SMD 14 fplus_CX'!$H$2:$H$6</f>
            </numRef>
          </yVal>
          <smooth val="0"/>
        </ser>
        <ser>
          <idx val="2"/>
          <order val="2"/>
          <tx>
            <strRef>
              <f>'M6SMD 14 fplus_CX'!L1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14 fplus_CX'!$N$2:$N$3</f>
              </numRef>
            </minus>
            <plus>
              <numRef>
                <f>'M6SMD 14 fplus_CX'!$N$2:$N$3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14 fplus_CX'!$K$2:$K$3</f>
            </numRef>
          </xVal>
          <yVal>
            <numRef>
              <f>'M6SMD 14 fplus_CX'!$L$2:$L$3</f>
            </numRef>
          </yVal>
          <smooth val="0"/>
        </ser>
        <ser>
          <idx val="3"/>
          <order val="3"/>
          <tx>
            <strRef>
              <f>'M6SMD 14 fplus_CX'!Q1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14 fplus_CX'!$P$2:$P$3</f>
            </numRef>
          </xVal>
          <yVal>
            <numRef>
              <f>'M6SMD 14 fplus_CX'!$Q$2:$Q$3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.25"/>
          <min val="0.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Fukui f+ on a C–X bond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0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15 dG ET_any'!B1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15 dG ET_any'!$D$2:$D$8</f>
              </numRef>
            </minus>
            <plus>
              <numRef>
                <f>'M6SMD 15 dG ET_any'!$D$2:$D$8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15 dG ET_any'!$A$2:$A$8</f>
            </numRef>
          </xVal>
          <yVal>
            <numRef>
              <f>'M6SMD 15 dG ET_any'!$B$2:$B$8</f>
            </numRef>
          </yVal>
          <smooth val="0"/>
        </ser>
        <ser>
          <idx val="1"/>
          <order val="1"/>
          <tx>
            <strRef>
              <f>'M6SMD 15 dG ET_any'!H1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96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15 dG ET_any'!$G$2:$G$6</f>
            </numRef>
          </xVal>
          <yVal>
            <numRef>
              <f>'M6SMD 15 dG ET_any'!$H$2:$H$6</f>
            </numRef>
          </yVal>
          <smooth val="0"/>
        </ser>
        <ser>
          <idx val="2"/>
          <order val="2"/>
          <tx>
            <strRef>
              <f>'M6SMD 15 dG ET_any'!L1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15 dG ET_any'!$N$2:$N$3</f>
              </numRef>
            </minus>
            <plus>
              <numRef>
                <f>'M6SMD 15 dG ET_any'!$N$2:$N$3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15 dG ET_any'!$K$2:$K$3</f>
            </numRef>
          </xVal>
          <yVal>
            <numRef>
              <f>'M6SMD 15 dG ET_any'!$L$2:$L$3</f>
            </numRef>
          </yVal>
          <smooth val="0"/>
        </ser>
        <ser>
          <idx val="3"/>
          <order val="3"/>
          <tx>
            <strRef>
              <f>'M6SMD 15 dG ET_any'!Q1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15 dG ET_any'!$P$2:$P$3</f>
            </numRef>
          </xVal>
          <yVal>
            <numRef>
              <f>'M6SMD 15 dG ET_any'!$Q$2:$Q$3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30"/>
          <min val="-8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6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16 dG frag_any'!B1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476"/>
                  <y val="-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16 dG frag_any'!$D$2:$D$8</f>
              </numRef>
            </minus>
            <plus>
              <numRef>
                <f>'M6SMD 16 dG frag_any'!$D$2:$D$8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16 dG frag_any'!$A$2:$A$8</f>
            </numRef>
          </xVal>
          <yVal>
            <numRef>
              <f>'M6SMD 16 dG frag_any'!$B$2:$B$8</f>
            </numRef>
          </yVal>
          <smooth val="0"/>
        </ser>
        <ser>
          <idx val="1"/>
          <order val="1"/>
          <tx>
            <strRef>
              <f>'M6SMD 16 dG frag_any'!H1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16 dG frag_any'!$G$2:$G$6</f>
            </numRef>
          </xVal>
          <yVal>
            <numRef>
              <f>'M6SMD 16 dG frag_any'!$H$2:$H$6</f>
            </numRef>
          </yVal>
          <smooth val="0"/>
        </ser>
        <ser>
          <idx val="2"/>
          <order val="2"/>
          <tx>
            <strRef>
              <f>'M6SMD 16 dG frag_any'!L1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16 dG frag_any'!$N$2:$N$3</f>
              </numRef>
            </minus>
            <plus>
              <numRef>
                <f>'M6SMD 16 dG frag_any'!$N$2:$N$3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16 dG frag_any'!$K$2:$K$3</f>
            </numRef>
          </xVal>
          <yVal>
            <numRef>
              <f>'M6SMD 16 dG frag_any'!$L$2:$L$3</f>
            </numRef>
          </yVal>
          <smooth val="0"/>
        </ser>
        <ser>
          <idx val="3"/>
          <order val="3"/>
          <tx>
            <strRef>
              <f>'M6SMD 16 dG frag_any'!Q1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16 dG frag_any'!$P$2:$P$3</f>
            </numRef>
          </xVal>
          <yVal>
            <numRef>
              <f>'M6SMD 16 dG frag_any'!$Q$2:$Q$3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-3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7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17 dr_CX_RA'!B1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381"/>
                  <y val="-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1"/>
                  <y val="-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17 dr_CX_RA'!$D$2:$D$8</f>
              </numRef>
            </minus>
            <plus>
              <numRef>
                <f>'M6SMD 17 dr_CX_RA'!$D$2:$D$8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17 dr_CX_RA'!$A$2:$A$8</f>
            </numRef>
          </xVal>
          <yVal>
            <numRef>
              <f>'M6SMD 17 dr_CX_RA'!$B$2:$B$8</f>
            </numRef>
          </yVal>
          <smooth val="0"/>
        </ser>
        <ser>
          <idx val="1"/>
          <order val="1"/>
          <tx>
            <strRef>
              <f>'M6SMD 17 dr_CX_RA'!H1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119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17 dr_CX_RA'!$G$2:$G$6</f>
            </numRef>
          </xVal>
          <yVal>
            <numRef>
              <f>'M6SMD 17 dr_CX_RA'!$H$2:$H$6</f>
            </numRef>
          </yVal>
          <smooth val="0"/>
        </ser>
        <ser>
          <idx val="2"/>
          <order val="2"/>
          <tx>
            <strRef>
              <f>'M6SMD 17 dr_CX_RA'!L1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17 dr_CX_RA'!$N$2:$N$3</f>
              </numRef>
            </minus>
            <plus>
              <numRef>
                <f>'M6SMD 17 dr_CX_RA'!$N$2:$N$3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17 dr_CX_RA'!$K$2:$K$3</f>
            </numRef>
          </xVal>
          <yVal>
            <numRef>
              <f>'M6SMD 17 dr_CX_RA'!$L$2:$L$3</f>
            </numRef>
          </yVal>
          <smooth val="0"/>
        </ser>
        <ser>
          <idx val="3"/>
          <order val="3"/>
          <tx>
            <strRef>
              <f>'M6SMD 17 dr_CX_RA'!Q1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17 dr_CX_RA'!$P$2:$P$3</f>
            </numRef>
          </xVal>
          <yVal>
            <numRef>
              <f>'M6SMD 17 dr_CX_RA'!$Q$2:$Q$3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4"/>
          <min val="-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C–X elongation in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(Å)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8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18 dG RA_2e_any'!B1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18 dG RA_2e_any'!$D$2:$D$8</f>
              </numRef>
            </minus>
            <plus>
              <numRef>
                <f>'M6SMD 18 dG RA_2e_any'!$D$2:$D$8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18 dG RA_2e_any'!$A$2:$A$8</f>
            </numRef>
          </xVal>
          <yVal>
            <numRef>
              <f>'M6SMD 18 dG RA_2e_any'!$B$2:$B$8</f>
            </numRef>
          </yVal>
          <smooth val="0"/>
        </ser>
        <ser>
          <idx val="1"/>
          <order val="1"/>
          <tx>
            <strRef>
              <f>'M6SMD 18 dG RA_2e_any'!H1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18 dG RA_2e_any'!$G$2:$G$6</f>
            </numRef>
          </xVal>
          <yVal>
            <numRef>
              <f>'M6SMD 18 dG RA_2e_any'!$H$2:$H$6</f>
            </numRef>
          </yVal>
          <smooth val="0"/>
        </ser>
        <ser>
          <idx val="2"/>
          <order val="2"/>
          <tx>
            <strRef>
              <f>'M6SMD 18 dG RA_2e_any'!L1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0.096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18 dG RA_2e_any'!$N$2:$N$3</f>
              </numRef>
            </minus>
            <plus>
              <numRef>
                <f>'M6SMD 18 dG RA_2e_any'!$N$2:$N$3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18 dG RA_2e_any'!$K$2:$K$3</f>
            </numRef>
          </xVal>
          <yVal>
            <numRef>
              <f>'M6SMD 18 dG RA_2e_any'!$L$2:$L$3</f>
            </numRef>
          </yVal>
          <smooth val="0"/>
        </ser>
        <ser>
          <idx val="3"/>
          <order val="3"/>
          <tx>
            <strRef>
              <f>'M6SMD 18 dG RA_2e_any'!Q1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18 dG RA_2e_any'!$P$2:$P$3</f>
            </numRef>
          </xVal>
          <yVal>
            <numRef>
              <f>'M6SMD 18 dG RA_2e_any'!$Q$2:$Q$3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80"/>
          <min val="-13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9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'M6SMD 19 LUMO_RA'!B1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19 LUMO_RA'!$D$2:$D$8</f>
              </numRef>
            </minus>
            <plus>
              <numRef>
                <f>'M6SMD 19 LUMO_RA'!$D$2:$D$8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19 LUMO_RA'!$A$2:$A$8</f>
            </numRef>
          </xVal>
          <yVal>
            <numRef>
              <f>'M6SMD 19 LUMO_RA'!$B$2:$B$8</f>
            </numRef>
          </yVal>
          <smooth val="0"/>
        </ser>
        <ser>
          <idx val="1"/>
          <order val="1"/>
          <tx>
            <strRef>
              <f>'M6SMD 19 LUMO_RA'!H1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0.096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'M6SMD 19 LUMO_RA'!$G$2:$G$6</f>
            </numRef>
          </xVal>
          <yVal>
            <numRef>
              <f>'M6SMD 19 LUMO_RA'!$H$2:$H$6</f>
            </numRef>
          </yVal>
          <smooth val="0"/>
        </ser>
        <ser>
          <idx val="2"/>
          <order val="2"/>
          <tx>
            <strRef>
              <f>'M6SMD 19 LUMO_RA'!L1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'M6SMD 19 LUMO_RA'!$N$2:$N$3</f>
              </numRef>
            </minus>
            <plus>
              <numRef>
                <f>'M6SMD 19 LUMO_RA'!$N$2:$N$3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'M6SMD 19 LUMO_RA'!$K$2:$K$3</f>
            </numRef>
          </xVal>
          <yVal>
            <numRef>
              <f>'M6SMD 19 LUMO_RA'!$L$2:$L$3</f>
            </numRef>
          </yVal>
          <smooth val="0"/>
        </ser>
        <ser>
          <idx val="3"/>
          <order val="3"/>
          <tx>
            <strRef>
              <f>'M6SMD 19 LUMO_RA'!Q1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'M6SMD 19 LUMO_RA'!$P$2:$P$3</f>
            </numRef>
          </xVal>
          <yVal>
            <numRef>
              <f>'M6SMD 19 LUMO_RA'!$Q$2:$Q$3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.5"/>
          <min val="-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the radical anion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1.xml" Id="rId1"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2.xml" Id="rId1"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3.xml" Id="rId1"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4.xml" Id="rId1"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5.xml" Id="rId1"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6.xml" Id="rId1"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7.xml" Id="rId1"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8.xml" Id="rId1"/></Relationships>
</file>

<file path=xl/drawings/_rels/drawing59.xml.rels><Relationships xmlns="http://schemas.openxmlformats.org/package/2006/relationships"><Relationship Type="http://schemas.openxmlformats.org/officeDocument/2006/relationships/chart" Target="/xl/charts/chart59.xml" Id="rId1"/></Relationships>
</file>

<file path=xl/drawings/_rels/drawing60.xml.rels><Relationships xmlns="http://schemas.openxmlformats.org/package/2006/relationships"><Relationship Type="http://schemas.openxmlformats.org/officeDocument/2006/relationships/chart" Target="/xl/charts/chart60.xml" Id="rId1"/></Relationships>
</file>

<file path=xl/drawings/_rels/drawing61.xml.rels><Relationships xmlns="http://schemas.openxmlformats.org/package/2006/relationships"><Relationship Type="http://schemas.openxmlformats.org/officeDocument/2006/relationships/chart" Target="/xl/charts/chart61.xml" Id="rId1"/></Relationships>
</file>

<file path=xl/drawings/_rels/drawing62.xml.rels><Relationships xmlns="http://schemas.openxmlformats.org/package/2006/relationships"><Relationship Type="http://schemas.openxmlformats.org/officeDocument/2006/relationships/chart" Target="/xl/charts/chart62.xml" Id="rId1"/></Relationships>
</file>

<file path=xl/drawings/_rels/drawing63.xml.rels><Relationships xmlns="http://schemas.openxmlformats.org/package/2006/relationships"><Relationship Type="http://schemas.openxmlformats.org/officeDocument/2006/relationships/chart" Target="/xl/charts/chart63.xml" Id="rId1"/></Relationships>
</file>

<file path=xl/drawings/_rels/drawing64.xml.rels><Relationships xmlns="http://schemas.openxmlformats.org/package/2006/relationships"><Relationship Type="http://schemas.openxmlformats.org/officeDocument/2006/relationships/chart" Target="/xl/charts/chart64.xml" Id="rId1"/></Relationships>
</file>

<file path=xl/drawings/_rels/drawing65.xml.rels><Relationships xmlns="http://schemas.openxmlformats.org/package/2006/relationships"><Relationship Type="http://schemas.openxmlformats.org/officeDocument/2006/relationships/chart" Target="/xl/charts/chart65.xml" Id="rId1"/></Relationships>
</file>

<file path=xl/drawings/_rels/drawing66.xml.rels><Relationships xmlns="http://schemas.openxmlformats.org/package/2006/relationships"><Relationship Type="http://schemas.openxmlformats.org/officeDocument/2006/relationships/chart" Target="/xl/charts/chart66.xml" Id="rId1"/></Relationships>
</file>

<file path=xl/drawings/_rels/drawing67.xml.rels><Relationships xmlns="http://schemas.openxmlformats.org/package/2006/relationships"><Relationship Type="http://schemas.openxmlformats.org/officeDocument/2006/relationships/chart" Target="/xl/charts/chart67.xml" Id="rId1"/></Relationships>
</file>

<file path=xl/drawings/_rels/drawing68.xml.rels><Relationships xmlns="http://schemas.openxmlformats.org/package/2006/relationships"><Relationship Type="http://schemas.openxmlformats.org/officeDocument/2006/relationships/chart" Target="/xl/charts/chart68.xml" Id="rId1"/></Relationships>
</file>

<file path=xl/drawings/_rels/drawing69.xml.rels><Relationships xmlns="http://schemas.openxmlformats.org/package/2006/relationships"><Relationship Type="http://schemas.openxmlformats.org/officeDocument/2006/relationships/chart" Target="/xl/charts/chart69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7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8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9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0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1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2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3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4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5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6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7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8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9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0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1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2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3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4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5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6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7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8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9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0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1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2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3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4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5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6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7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8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9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M6gas 02 dG RA_2e_any'!A1" TargetMode="External" Id="rId1"/><Relationship Type="http://schemas.openxmlformats.org/officeDocument/2006/relationships/hyperlink" Target="#'B3gas 02 dG RA_2e_any'!A1" TargetMode="External" Id="rId2"/><Relationship Type="http://schemas.openxmlformats.org/officeDocument/2006/relationships/hyperlink" Target="#'B3gas 01 dG rad_red'!A1" TargetMode="External" Id="rId3"/><Relationship Type="http://schemas.openxmlformats.org/officeDocument/2006/relationships/hyperlink" Target="#'M6gas 01 dG rad_red'!A1" TargetMode="External" Id="rId4"/><Relationship Type="http://schemas.openxmlformats.org/officeDocument/2006/relationships/hyperlink" Target="#'M6gas 04 dG 2e_carbanion'!A1" TargetMode="External" Id="rId5"/><Relationship Type="http://schemas.openxmlformats.org/officeDocument/2006/relationships/hyperlink" Target="#'B3gas 03 dG frag_any'!A1" TargetMode="External" Id="rId6"/><Relationship Type="http://schemas.openxmlformats.org/officeDocument/2006/relationships/hyperlink" Target="#'B3SMD 02 dG RA_2e_any'!A1" TargetMode="External" Id="rId7"/><Relationship Type="http://schemas.openxmlformats.org/officeDocument/2006/relationships/hyperlink" Target="#'B3gas 05 dG 2e_carbanion'!A1" TargetMode="External" Id="rId8"/><Relationship Type="http://schemas.openxmlformats.org/officeDocument/2006/relationships/hyperlink" Target="#'M6gas 03 dG frag_any'!A1" TargetMode="External" Id="rId9"/><Relationship Type="http://schemas.openxmlformats.org/officeDocument/2006/relationships/hyperlink" Target="#'B3gas 04 LUMO_RA'!A1" TargetMode="External" Id="rId10"/><Relationship Type="http://schemas.openxmlformats.org/officeDocument/2006/relationships/hyperlink" Target="#'M6gas 02 dG RA_2e_any'!A1" TargetMode="External" Id="rId11"/><Relationship Type="http://schemas.openxmlformats.org/officeDocument/2006/relationships/hyperlink" Target="#'B3gas 02 dG RA_2e_any'!A1" TargetMode="External" Id="rId12"/><Relationship Type="http://schemas.openxmlformats.org/officeDocument/2006/relationships/hyperlink" Target="#'B3gas 01 dG rad_red'!A1" TargetMode="External" Id="rId13"/><Relationship Type="http://schemas.openxmlformats.org/officeDocument/2006/relationships/hyperlink" Target="#'M6gas 01 dG rad_red'!A1" TargetMode="External" Id="rId14"/><Relationship Type="http://schemas.openxmlformats.org/officeDocument/2006/relationships/hyperlink" Target="#'M6gas 04 dG 2e_carbanion'!A1" TargetMode="External" Id="rId15"/><Relationship Type="http://schemas.openxmlformats.org/officeDocument/2006/relationships/hyperlink" Target="#'B3gas 03 dG frag_any'!A1" TargetMode="External" Id="rId16"/><Relationship Type="http://schemas.openxmlformats.org/officeDocument/2006/relationships/hyperlink" Target="#'B3SMD 02 dG RA_2e_any'!A1" TargetMode="External" Id="rId17"/><Relationship Type="http://schemas.openxmlformats.org/officeDocument/2006/relationships/hyperlink" Target="#'B3gas 05 dG 2e_carbanion'!A1" TargetMode="External" Id="rId18"/><Relationship Type="http://schemas.openxmlformats.org/officeDocument/2006/relationships/hyperlink" Target="#'M6gas 03 dG frag_any'!A1" TargetMode="External" Id="rId19"/><Relationship Type="http://schemas.openxmlformats.org/officeDocument/2006/relationships/hyperlink" Target="#'B3gas 04 LUMO_RA'!A1" TargetMode="External" Id="rId20"/><Relationship Type="http://schemas.openxmlformats.org/officeDocument/2006/relationships/hyperlink" Target="#'M6SMD 01 dG rad_red'!A1" TargetMode="External" Id="rId21"/><Relationship Type="http://schemas.openxmlformats.org/officeDocument/2006/relationships/hyperlink" Target="#'B3SMD 01 dG rad_red'!A1" TargetMode="External" Id="rId22"/><Relationship Type="http://schemas.openxmlformats.org/officeDocument/2006/relationships/hyperlink" Target="#'M6SMD 02 wiberg_CX_parent'!A1" TargetMode="External" Id="rId23"/><Relationship Type="http://schemas.openxmlformats.org/officeDocument/2006/relationships/hyperlink" Target="#'B3SMD 03 wiberg_CX_parent'!A1" TargetMode="External" Id="rId24"/><Relationship Type="http://schemas.openxmlformats.org/officeDocument/2006/relationships/hyperlink" Target="#'M6gas 07 wiberg_CX_parent'!A1" TargetMode="External" Id="rId25"/><Relationship Type="http://schemas.openxmlformats.org/officeDocument/2006/relationships/hyperlink" Target="#'B3gas 08 wiberg_CX_parent'!A1" TargetMode="External" Id="rId26"/><Relationship Type="http://schemas.openxmlformats.org/officeDocument/2006/relationships/hyperlink" Target="#'M6SMD 04 dG 2e_carbanion'!A1" TargetMode="External" Id="rId27"/><Relationship Type="http://schemas.openxmlformats.org/officeDocument/2006/relationships/hyperlink" Target="#'B3SMD 07 dG frag_any'!A1" TargetMode="External" Id="rId28"/><Relationship Type="http://schemas.openxmlformats.org/officeDocument/2006/relationships/hyperlink" Target="#'M6gas 08 VEA'!A1" TargetMode="External" Id="rId29"/><Relationship Type="http://schemas.openxmlformats.org/officeDocument/2006/relationships/hyperlink" Target="#'B3gas 06 n_X'!A1" TargetMode="External" Id="rId30"/><Relationship Type="http://schemas.openxmlformats.org/officeDocument/2006/relationships/hyperlink" Target="#'B3SMD 04 n_X'!A1" TargetMode="External" Id="rId31"/><Relationship Type="http://schemas.openxmlformats.org/officeDocument/2006/relationships/hyperlink" Target="#'M6gas 06 n_X'!A1" TargetMode="External" Id="rId32"/><Relationship Type="http://schemas.openxmlformats.org/officeDocument/2006/relationships/hyperlink" Target="#'M6SMD 03 n_X'!A1" TargetMode="External" Id="rId33"/><Relationship Type="http://schemas.openxmlformats.org/officeDocument/2006/relationships/hyperlink" Target="#'B3SMD 06 dG 2e_carbanion'!A1" TargetMode="External" Id="rId34"/><Relationship Type="http://schemas.openxmlformats.org/officeDocument/2006/relationships/hyperlink" Target="#'M6gas 05 dG ET_any'!A1" TargetMode="External" Id="rId35"/><Relationship Type="http://schemas.openxmlformats.org/officeDocument/2006/relationships/hyperlink" Target="#'M6SMD 07 dG 2e_HDH'!A1" TargetMode="External" Id="rId36"/><Relationship Type="http://schemas.openxmlformats.org/officeDocument/2006/relationships/hyperlink" Target="#'B3gas 10 VEA'!A1" TargetMode="External" Id="rId37"/><Relationship Type="http://schemas.openxmlformats.org/officeDocument/2006/relationships/hyperlink" Target="#'B3gas 07 dG ET_any'!A1" TargetMode="External" Id="rId38"/><Relationship Type="http://schemas.openxmlformats.org/officeDocument/2006/relationships/hyperlink" Target="#'B3SMD 09 dG 2e_HDH'!A1" TargetMode="External" Id="rId39"/><Relationship Type="http://schemas.openxmlformats.org/officeDocument/2006/relationships/hyperlink" Target="#'B3gas 09 LUMO'!A1" TargetMode="External" Id="rId40"/><Relationship Type="http://schemas.openxmlformats.org/officeDocument/2006/relationships/hyperlink" Target="#'B3SMD 11 LUMO_RA'!A1" TargetMode="External" Id="rId41"/><Relationship Type="http://schemas.openxmlformats.org/officeDocument/2006/relationships/hyperlink" Target="#'M6gas 10 omega_dSCF'!A1" TargetMode="External" Id="rId42"/><Relationship Type="http://schemas.openxmlformats.org/officeDocument/2006/relationships/hyperlink" Target="#'B3SMD 05 LUMO'!A1" TargetMode="External" Id="rId43"/><Relationship Type="http://schemas.openxmlformats.org/officeDocument/2006/relationships/hyperlink" Target="#'M6SMD 06 VEA'!A1" TargetMode="External" Id="rId44"/><Relationship Type="http://schemas.openxmlformats.org/officeDocument/2006/relationships/hyperlink" Target="#'M6SMD 14 fplus_CX'!A1" TargetMode="External" Id="rId45"/><Relationship Type="http://schemas.openxmlformats.org/officeDocument/2006/relationships/hyperlink" Target="#'M6SMD 05 dG0_act_concerted'!A1" TargetMode="External" Id="rId46"/><Relationship Type="http://schemas.openxmlformats.org/officeDocument/2006/relationships/hyperlink" Target="#'M6gas 09 dG 2e_HDH'!A1" TargetMode="External" Id="rId47"/><Relationship Type="http://schemas.openxmlformats.org/officeDocument/2006/relationships/hyperlink" Target="#'B3gas 11 dG 2e_HDH'!A1" TargetMode="External" Id="rId48"/><Relationship Type="http://schemas.openxmlformats.org/officeDocument/2006/relationships/hyperlink" Target="#'M6SMD 08 dG act_concerted'!A1" TargetMode="External" Id="rId49"/><Relationship Type="http://schemas.openxmlformats.org/officeDocument/2006/relationships/hyperlink" Target="#'M6SMD 09 dG act_combined'!A1" TargetMode="External" Id="rId50"/><Relationship Type="http://schemas.openxmlformats.org/officeDocument/2006/relationships/hyperlink" Target="#'B3gas 12 omega_dSCF'!A1" TargetMode="External" Id="rId51"/><Relationship Type="http://schemas.openxmlformats.org/officeDocument/2006/relationships/hyperlink" Target="#'B3SMD 08 dG0_act_concerted'!A1" TargetMode="External" Id="rId52"/><Relationship Type="http://schemas.openxmlformats.org/officeDocument/2006/relationships/hyperlink" Target="#'M6SMD 10 omega_dSCF'!A1" TargetMode="External" Id="rId53"/><Relationship Type="http://schemas.openxmlformats.org/officeDocument/2006/relationships/hyperlink" Target="#'B3SMD 10 dG act_concerted'!A1" TargetMode="External" Id="rId54"/><Relationship Type="http://schemas.openxmlformats.org/officeDocument/2006/relationships/hyperlink" Target="#'B3SMD 12 dG ET_any'!A1" TargetMode="External" Id="rId55"/><Relationship Type="http://schemas.openxmlformats.org/officeDocument/2006/relationships/hyperlink" Target="#'B3gas 15 dr_CX_RA'!A1" TargetMode="External" Id="rId56"/><Relationship Type="http://schemas.openxmlformats.org/officeDocument/2006/relationships/hyperlink" Target="#'M6gas 14 LUMO_RA'!A1" TargetMode="External" Id="rId57"/><Relationship Type="http://schemas.openxmlformats.org/officeDocument/2006/relationships/hyperlink" Target="#'B3SMD 13 VEA'!A1" TargetMode="External" Id="rId58"/><Relationship Type="http://schemas.openxmlformats.org/officeDocument/2006/relationships/hyperlink" Target="#'M6gas 11 LUMO'!A1" TargetMode="External" Id="rId59"/><Relationship Type="http://schemas.openxmlformats.org/officeDocument/2006/relationships/hyperlink" Target="#'M6SMD 11 LUMO'!A1" TargetMode="External" Id="rId60"/><Relationship Type="http://schemas.openxmlformats.org/officeDocument/2006/relationships/hyperlink" Target="#'B3SMD 15 dG 1e'!A1" TargetMode="External" Id="rId61"/><Relationship Type="http://schemas.openxmlformats.org/officeDocument/2006/relationships/hyperlink" Target="#'M6SMD 12 dG 1e'!A1" TargetMode="External" Id="rId62"/><Relationship Type="http://schemas.openxmlformats.org/officeDocument/2006/relationships/hyperlink" Target="#'M6SMD 19 LUMO_RA'!A1" TargetMode="External" Id="rId63"/><Relationship Type="http://schemas.openxmlformats.org/officeDocument/2006/relationships/hyperlink" Target="#'B3SMD 17 dr_CX_RA'!A1" TargetMode="External" Id="rId64"/><Relationship Type="http://schemas.openxmlformats.org/officeDocument/2006/relationships/hyperlink" Target="#'B3SMD 16 BDE'!A1" TargetMode="External" Id="rId65"/><Relationship Type="http://schemas.openxmlformats.org/officeDocument/2006/relationships/hyperlink" Target="#'M6SMD 15 dG ET_any'!A1" TargetMode="External" Id="rId66"/><Relationship Type="http://schemas.openxmlformats.org/officeDocument/2006/relationships/hyperlink" Target="#'M6gas 15 dr_CX_RA'!A1" TargetMode="External" Id="rId67"/><Relationship Type="http://schemas.openxmlformats.org/officeDocument/2006/relationships/hyperlink" Target="#'M6SMD 17 dr_CX_RA'!A1" TargetMode="External" Id="rId68"/><Relationship Type="http://schemas.openxmlformats.org/officeDocument/2006/relationships/hyperlink" Target="#'M6SMD 13 BDE'!A1" TargetMode="External" Id="rId69"/><Relationship Type="http://schemas.openxmlformats.org/officeDocument/2006/relationships/hyperlink" Target="#'M6SMD 18 dG RA_2e_any'!A1" TargetMode="External" Id="rId70"/><Relationship Type="http://schemas.openxmlformats.org/officeDocument/2006/relationships/hyperlink" Target="#'B3gas 14 BDE'!A1" TargetMode="External" Id="rId71"/><Relationship Type="http://schemas.openxmlformats.org/officeDocument/2006/relationships/hyperlink" Target="#'B3SMD 14 omega_dSCF'!A1" TargetMode="External" Id="rId72"/><Relationship Type="http://schemas.openxmlformats.org/officeDocument/2006/relationships/hyperlink" Target="#'B3gas 16 fplus_CX'!A1" TargetMode="External" Id="rId73"/><Relationship Type="http://schemas.openxmlformats.org/officeDocument/2006/relationships/hyperlink" Target="#'B3gas 13 dG 1e'!A1" TargetMode="External" Id="rId74"/><Relationship Type="http://schemas.openxmlformats.org/officeDocument/2006/relationships/hyperlink" Target="#'M6gas 13 BDE'!A1" TargetMode="External" Id="rId75"/><Relationship Type="http://schemas.openxmlformats.org/officeDocument/2006/relationships/hyperlink" Target="#'M6gas 16 fplus_CX'!A1" TargetMode="External" Id="rId76"/><Relationship Type="http://schemas.openxmlformats.org/officeDocument/2006/relationships/hyperlink" Target="#'M6gas 12 dG 1e'!A1" TargetMode="External" Id="rId77"/><Relationship Type="http://schemas.openxmlformats.org/officeDocument/2006/relationships/hyperlink" Target="#'B3SMD 18 fplus_CX'!A1" TargetMode="External" Id="rId78"/><Relationship Type="http://schemas.openxmlformats.org/officeDocument/2006/relationships/hyperlink" Target="#'M6SMD 16 dG frag_any'!A1" TargetMode="External" Id="rId79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39.xml" Id="rId1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0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1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2.xml" Id="rId1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3.xml" Id="rId1"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4.xml" Id="rId1"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5.xml" Id="rId1"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6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7.xml" Id="rId1"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48.xml" Id="rId1"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49.xml" Id="rId1"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0.xml" Id="rId1"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1.xml" Id="rId1"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2.xml" Id="rId1"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3.xml" Id="rId1"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4.xml" Id="rId1"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5.xml" Id="rId1"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6.xml" Id="rId1"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7.xml" Id="rId1"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58.xml" Id="rId1"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59.xml" Id="rId1"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0.xml" Id="rId1"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1.xml" Id="rId1"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2.xml" Id="rId1"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3.xml" Id="rId1"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4.xml" Id="rId1"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5.xml" Id="rId1"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6.xml" Id="rId1"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67.xml" Id="rId1"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68.xml" Id="rId1"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6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55" customWidth="1" min="4" max="4"/>
    <col width="55" customWidth="1" min="5" max="5"/>
    <col width="34" customWidth="1" min="6" max="6"/>
    <col width="9" customWidth="1" min="7" max="7"/>
  </cols>
  <sheetData>
    <row r="1">
      <c r="A1" s="1" t="inlineStr">
        <is>
          <t>Haloaromatics QSAR workbook</t>
        </is>
      </c>
    </row>
    <row r="2"/>
    <row r="3" ht="27" customHeight="1">
      <c r="A3" s="2" t="inlineStr">
        <is>
          <t>Purpose</t>
        </is>
      </c>
      <c r="B3" s="3" t="inlineStr">
        <is>
          <t>Correlate measured electrochemical dehalogenation rate constants with computed descriptors, to identify which parameters predict reduction kinetics and whether a relationship fitted on the bromobenzenes transfers to the chlorobenzenes and PBDEs.</t>
        </is>
      </c>
    </row>
    <row r="4" ht="40.5" customHeight="1">
      <c r="A4" s="2" t="inlineStr">
        <is>
          <t>Rate constants</t>
        </is>
      </c>
      <c r="B4" s="3" t="inlineStr">
        <is>
          <t>Pseudo-first-order k_obs (h⁻¹) measured at −2.0 V vs SHE (uncompensated potential, without iR-drop compensation). Bromobenzenes and PBDEs: LaPier et al., Environ. Sci. Technol. 2026, 60, 1346, Table 1 (1,3-dibromobenzene corrected from per day to 0.0329 h⁻¹). Chlorobenzenes: unpublished, no standard errors yet. File: data/experimental_kobs.csv.</t>
        </is>
      </c>
    </row>
    <row r="5" ht="40.5" customHeight="1">
      <c r="A5" s="2" t="inlineStr">
        <is>
          <t>Computed data</t>
        </is>
      </c>
      <c r="B5" s="3" t="inlineStr">
        <is>
          <t>Gaussian 16, 6-311++G(d). Levels: B3gas = B3LYP/6-311++G(d), gas phase; B3SMD = B3LYP/6-311++G(d), SMD (water); M6gas = M06-2X/6-311++G(d), gas phase; M6SMD = M06-2X/6-311++G(d), SMD (water). Compounds: 7 bromobenzenes, 5 chlorobenzenes, BDE-47 and BDE-99. Built from results/qsar_summary.csv and correlation_data.csv (compile) by figures/qsar_workbook.py.</t>
        </is>
      </c>
    </row>
    <row r="6" ht="27" customHeight="1">
      <c r="A6" s="2" t="inlineStr">
        <is>
          <t>Tabs</t>
        </is>
      </c>
      <c r="B6" s="3" t="inlineStr">
        <is>
          <t>Performance: comparison of all models. Data: every value used. One chart tab per descriptor and level, named &lt;level&gt; &lt;rank by R²&gt; &lt;descriptor&gt;: B3 = B3LYP, M6 = M06-2X, gas or SMD.</t>
        </is>
      </c>
    </row>
    <row r="7" ht="54" customHeight="1">
      <c r="A7" s="2" t="inlineStr">
        <is>
          <t>Charts and fits</t>
        </is>
      </c>
      <c r="B7" s="3" t="inlineStr">
        <is>
          <t>Each chart tab holds the plotted values in cells. The dotted line is the least-squares fit to the bromobenzenes computed by Excel (SLOPE, INTERCEPT, RSQ in the cells beside the chart), so editing a value updates the line and statistics. Filled gray circles: published bromobenzene data (fitted). Open circles: new chlorobenzene data (predicted). Gray squares: published PBDE data (predicted). Error bars: ±1 standard error of k_obs propagated to ln k_obs (SE/k_obs). Site descriptors use the most favourable C–X site of each compound (min_ / max_) or a degeneracy-weighted effective value (eff_).</t>
        </is>
      </c>
    </row>
    <row r="8"/>
    <row r="9">
      <c r="A9" s="4" t="inlineStr">
        <is>
          <t>Calculated parameters</t>
        </is>
      </c>
    </row>
    <row r="10">
      <c r="A10" s="5" t="inlineStr">
        <is>
          <t>descriptor</t>
        </is>
      </c>
      <c r="B10" s="5" t="inlineStr">
        <is>
          <t>key</t>
        </is>
      </c>
      <c r="C10" s="5" t="inlineStr">
        <is>
          <t>units</t>
        </is>
      </c>
      <c r="D10" s="5" t="inlineStr">
        <is>
          <t>definition / how computed</t>
        </is>
      </c>
      <c r="E10" s="5" t="inlineStr">
        <is>
          <t>significance for reduction kinetics</t>
        </is>
      </c>
      <c r="F10" s="5" t="inlineStr">
        <is>
          <t>availability</t>
        </is>
      </c>
      <c r="G10" s="5" t="inlineStr">
        <is>
          <t>set</t>
        </is>
      </c>
    </row>
    <row r="11" ht="67.5" customHeight="1">
      <c r="A11" s="3" t="inlineStr">
        <is>
          <t>LUMO of ArX</t>
        </is>
      </c>
      <c r="B11" s="3" t="inlineStr">
        <is>
          <t>LUMO_eV</t>
        </is>
      </c>
      <c r="C11" s="3" t="inlineStr">
        <is>
          <t>eV</t>
        </is>
      </c>
      <c r="D11" s="3" t="inlineStr">
        <is>
          <t>Energy of the lowest unoccupied molecular orbital of the neutral parent ArX (lowest of the alpha/beta virtual orbitals).</t>
        </is>
      </c>
      <c r="E11" s="3" t="inlineStr">
        <is>
          <t>Frontier-orbital estimate of how easily ArX accepts an electron: a lower LUMO means easier reduction. Cheap, but virtual-orbital energies depend on the functional and on diffuse functions, so it is a qualitative proxy for the electron affinity.</t>
        </is>
      </c>
      <c r="F11" s="3" t="inlineStr">
        <is>
          <t>All compounds, all levels.</t>
        </is>
      </c>
      <c r="G11" s="3" t="inlineStr">
        <is>
          <t>thermo</t>
        </is>
      </c>
    </row>
    <row r="12" ht="27" customHeight="1">
      <c r="A12" s="3" t="inlineStr">
        <is>
          <t>LUMO of the radical anion ArX•⁻</t>
        </is>
      </c>
      <c r="B12" s="3" t="inlineStr">
        <is>
          <t>LUMO_RA_eV</t>
        </is>
      </c>
      <c r="C12" s="3" t="inlineStr">
        <is>
          <t>eV</t>
        </is>
      </c>
      <c r="D12" s="3" t="inlineStr">
        <is>
          <t>LUMO of the relaxed radical anion ArX•⁻ in whatever state it optimised to (π, bent σ, or dissociated Ar•···X⁻ complex).</t>
        </is>
      </c>
      <c r="E12" s="3" t="inlineStr">
        <is>
          <t>How easily the radical anion takes a second electron (2-electron pathway).</t>
        </is>
      </c>
      <c r="F12" s="3" t="inlineStr">
        <is>
          <t>All compounds; meaning changes when the radical anion is dissociated.</t>
        </is>
      </c>
      <c r="G12" s="3" t="inlineStr">
        <is>
          <t>thermo</t>
        </is>
      </c>
    </row>
    <row r="13" ht="27" customHeight="1">
      <c r="A13" s="3" t="inlineStr">
        <is>
          <t>ΔG ArX + e⁻ → Ar• + X⁻</t>
        </is>
      </c>
      <c r="B13" s="3" t="inlineStr">
        <is>
          <t>min_dG_1e_kcal</t>
        </is>
      </c>
      <c r="C13" s="3" t="inlineStr">
        <is>
          <t>kcal/mol</t>
        </is>
      </c>
      <c r="D13" s="3" t="inlineStr">
        <is>
          <t>ΔG of ArX + e⁻ → Ar• + X⁻ at the most favourable C–X site (concerted dissociative one-electron reduction).</t>
        </is>
      </c>
      <c r="E13" s="3" t="inlineStr">
        <is>
          <t>Driving force of the concerted dissociative electron transfer (Savéant). Its standard potential is E°_DET.</t>
        </is>
      </c>
      <c r="F13" s="3" t="inlineStr">
        <is>
          <t>All compounds, all levels.</t>
        </is>
      </c>
      <c r="G13" s="3" t="inlineStr">
        <is>
          <t>thermo</t>
        </is>
      </c>
    </row>
    <row r="14" ht="27" customHeight="1">
      <c r="A14" s="3" t="inlineStr">
        <is>
          <t>ΔG ArX + 2e⁻ → Ar⁻ + X⁻</t>
        </is>
      </c>
      <c r="B14" s="3" t="inlineStr">
        <is>
          <t>min_dG_2e_carbanion_kcal</t>
        </is>
      </c>
      <c r="C14" s="3" t="inlineStr">
        <is>
          <t>kcal/mol</t>
        </is>
      </c>
      <c r="D14" s="3" t="inlineStr">
        <is>
          <t>ΔG of ArX + 2e⁻ → Ar⁻ + X⁻ at the most favourable site.</t>
        </is>
      </c>
      <c r="E14" s="3" t="inlineStr">
        <is>
          <t>Overall driving force of two-electron reductive C–X cleavage to the aryl carbanion (which is protonated to ArH).</t>
        </is>
      </c>
      <c r="F14" s="3" t="inlineStr">
        <is>
          <t>All compounds, all levels.</t>
        </is>
      </c>
      <c r="G14" s="3" t="inlineStr">
        <is>
          <t>thermo</t>
        </is>
      </c>
    </row>
    <row r="15" ht="40.5" customHeight="1">
      <c r="A15" s="3" t="inlineStr">
        <is>
          <t>ΔG ArX + e⁻ → ArX•⁻</t>
        </is>
      </c>
      <c r="B15" s="3" t="inlineStr">
        <is>
          <t>dG_ET_any_kcal</t>
        </is>
      </c>
      <c r="C15" s="3" t="inlineStr">
        <is>
          <t>kcal/mol</t>
        </is>
      </c>
      <c r="D15" s="3" t="inlineStr">
        <is>
          <t>ΔG of ArX + e⁻ → ArX•⁻, using the lowest radical-anion energy whatever its structure.</t>
        </is>
      </c>
      <c r="E15" s="3" t="inlineStr">
        <is>
          <t>Driving force of the first electron transfer (stepwise pathway). Where the radical anion is dissociated this already includes C–X cleavage.</t>
        </is>
      </c>
      <c r="F15" s="3" t="inlineStr">
        <is>
          <t>All compounds, all levels.</t>
        </is>
      </c>
      <c r="G15" s="3" t="inlineStr">
        <is>
          <t>thermo</t>
        </is>
      </c>
    </row>
    <row r="16" ht="27" customHeight="1">
      <c r="A16" s="3" t="inlineStr">
        <is>
          <t>ΔG ArX•⁻ → Ar• + X⁻</t>
        </is>
      </c>
      <c r="B16" s="3" t="inlineStr">
        <is>
          <t>min_dG_frag_any_kcal</t>
        </is>
      </c>
      <c r="C16" s="3" t="inlineStr">
        <is>
          <t>kcal/mol</t>
        </is>
      </c>
      <c r="D16" s="3" t="inlineStr">
        <is>
          <t>ΔG of ArX•⁻ → Ar• + X⁻ from the lowest radical-anion energy, most favourable site.</t>
        </is>
      </c>
      <c r="E16" s="3" t="inlineStr">
        <is>
          <t>Driving force of radical-anion fragmentation (second step of the stepwise pathway).</t>
        </is>
      </c>
      <c r="F16" s="3" t="inlineStr">
        <is>
          <t>All compounds, all levels.</t>
        </is>
      </c>
      <c r="G16" s="3" t="inlineStr">
        <is>
          <t>thermo</t>
        </is>
      </c>
    </row>
    <row r="17" ht="27" customHeight="1">
      <c r="A17" s="3" t="inlineStr">
        <is>
          <t>ΔG ArX•⁻ + e⁻ → Ar⁻ + X⁻</t>
        </is>
      </c>
      <c r="B17" s="3" t="inlineStr">
        <is>
          <t>min_dG_RA_2e_any_kcal</t>
        </is>
      </c>
      <c r="C17" s="3" t="inlineStr">
        <is>
          <t>kcal/mol</t>
        </is>
      </c>
      <c r="D17" s="3" t="inlineStr">
        <is>
          <t>ΔG of ArX•⁻ + e⁻ → Ar⁻ + X⁻ (second electron to the radical anion with C–X cleavage), most favourable site.</t>
        </is>
      </c>
      <c r="E17" s="3" t="inlineStr">
        <is>
          <t>Driving force of the second reduction in a 2-electron stepwise path.</t>
        </is>
      </c>
      <c r="F17" s="3" t="inlineStr">
        <is>
          <t>All compounds, all levels.</t>
        </is>
      </c>
      <c r="G17" s="3" t="inlineStr">
        <is>
          <t>thermo</t>
        </is>
      </c>
    </row>
    <row r="18" ht="40.5" customHeight="1">
      <c r="A18" s="3" t="inlineStr">
        <is>
          <t>number of halogens</t>
        </is>
      </c>
      <c r="B18" s="3" t="inlineStr">
        <is>
          <t>n_X</t>
        </is>
      </c>
      <c r="C18" s="3" t="inlineStr">
        <is>
          <t>-</t>
        </is>
      </c>
      <c r="D18" s="3" t="inlineStr">
        <is>
          <t>Number of halogen substituents.</t>
        </is>
      </c>
      <c r="E18" s="3" t="inlineStr">
        <is>
          <t>Structural baseline: most electronic descriptors increase with n_X, so a descriptor that does no better than n_X adds little physical insight.</t>
        </is>
      </c>
      <c r="F18" s="3" t="inlineStr">
        <is>
          <t>All compounds.</t>
        </is>
      </c>
      <c r="G18" s="3" t="inlineStr">
        <is>
          <t>extended</t>
        </is>
      </c>
    </row>
    <row r="19" ht="40.5" customHeight="1">
      <c r="A19" s="3" t="inlineStr">
        <is>
          <t>vertical electron affinity</t>
        </is>
      </c>
      <c r="B19" s="3" t="inlineStr">
        <is>
          <t>VEA_eV</t>
        </is>
      </c>
      <c r="C19" s="3" t="inlineStr">
        <is>
          <t>eV</t>
        </is>
      </c>
      <c r="D19" s="3" t="inlineStr">
        <is>
          <t>Vertical electron affinity E(ArX) − E(ArX•⁻), both at the neutral geometry (ΔSCF single points; electronic energies).</t>
        </is>
      </c>
      <c r="E19" s="3" t="inlineStr">
        <is>
          <t>Energy released on adding an electron without nuclear relaxation, i.e. the Franck–Condon step of heterogeneous electron transfer. Positive = electron is bound.</t>
        </is>
      </c>
      <c r="F19" s="3" t="inlineStr">
        <is>
          <t>All compounds, all levels (sp stage).</t>
        </is>
      </c>
      <c r="G19" s="3" t="inlineStr">
        <is>
          <t>extended</t>
        </is>
      </c>
    </row>
    <row r="20" ht="40.5" customHeight="1">
      <c r="A20" s="3" t="inlineStr">
        <is>
          <t>adiabatic electron affinity (electronic)</t>
        </is>
      </c>
      <c r="B20" s="3" t="inlineStr">
        <is>
          <t>AEA_elec_eV</t>
        </is>
      </c>
      <c r="C20" s="3" t="inlineStr">
        <is>
          <t>eV</t>
        </is>
      </c>
      <c r="D20" s="3" t="inlineStr">
        <is>
          <t>Adiabatic electron affinity E(ArX) − E(ArX•⁻), each at its own optimised geometry (electronic energies).</t>
        </is>
      </c>
      <c r="E20" s="3" t="inlineStr">
        <is>
          <t>Thermodynamic electron affinity including relaxation.</t>
        </is>
      </c>
      <c r="F20" s="3" t="inlineStr">
        <is>
          <t>Only where the radical anion is bound (π or bent σ): few bromobenzenes at M06-2X.</t>
        </is>
      </c>
      <c r="G20" s="3" t="inlineStr">
        <is>
          <t>extended</t>
        </is>
      </c>
    </row>
    <row r="21" ht="40.5" customHeight="1">
      <c r="A21" s="3" t="inlineStr">
        <is>
          <t>electrophilicity index (ΔSCF)</t>
        </is>
      </c>
      <c r="B21" s="3" t="inlineStr">
        <is>
          <t>omega_dSCF_eV</t>
        </is>
      </c>
      <c r="C21" s="3" t="inlineStr">
        <is>
          <t>eV</t>
        </is>
      </c>
      <c r="D21" s="3" t="inlineStr">
        <is>
          <t>Parr electrophilicity index ω = μ²/(2η) with μ = −(VIE + VEA)/2 and η = VIE − VEA from ΔSCF vertical ionisation energy and electron affinity.</t>
        </is>
      </c>
      <c r="E21" s="3" t="inlineStr">
        <is>
          <t>Global propensity to accept electron density; combines electron affinity and hardness.</t>
        </is>
      </c>
      <c r="F21" s="3" t="inlineStr">
        <is>
          <t>All compounds, all levels (sp stage).</t>
        </is>
      </c>
      <c r="G21" s="3" t="inlineStr">
        <is>
          <t>extended</t>
        </is>
      </c>
    </row>
    <row r="22" ht="27" customHeight="1">
      <c r="A22" s="3" t="inlineStr">
        <is>
          <t>E° ArX/ArX•⁻ (SMD levels only)</t>
        </is>
      </c>
      <c r="B22" s="3" t="inlineStr">
        <is>
          <t>E_ET_V</t>
        </is>
      </c>
      <c r="C22" s="3" t="inlineStr">
        <is>
          <t>V vs SHE</t>
        </is>
      </c>
      <c r="D22" s="3" t="inlineStr">
        <is>
          <t>Standard potential of ArX/ArX•⁻, E° = −ΔG_ET/F − E_abs(SHE).</t>
        </is>
      </c>
      <c r="E22" s="3" t="inlineStr">
        <is>
          <t>Electron-transfer potential for the stepwise pathway; compare with the −2.0 V electrode potential.</t>
        </is>
      </c>
      <c r="F22" s="3" t="inlineStr">
        <is>
          <t>SMD levels only, bound radical anions only.</t>
        </is>
      </c>
      <c r="G22" s="3" t="inlineStr">
        <is>
          <t>extended</t>
        </is>
      </c>
    </row>
    <row r="23" ht="27" customHeight="1">
      <c r="A23" s="3" t="inlineStr">
        <is>
          <t>ΔG ArX + e⁻ → ArX•⁻, bound radical anion only</t>
        </is>
      </c>
      <c r="B23" s="3" t="inlineStr">
        <is>
          <t>dG_ET_kcal</t>
        </is>
      </c>
      <c r="C23" s="3" t="inlineStr">
        <is>
          <t>kcal/mol</t>
        </is>
      </c>
      <c r="D23" s="3" t="inlineStr">
        <is>
          <t>As dG_ET_any, but blank when the radical anion is dissociated.</t>
        </is>
      </c>
      <c r="E23" s="3" t="inlineStr">
        <is>
          <t>Driving force of forming a genuine ArX•⁻ intermediate.</t>
        </is>
      </c>
      <c r="F23" s="3" t="inlineStr">
        <is>
          <t>Bound radical anions only (often too few points to fit).</t>
        </is>
      </c>
      <c r="G23" s="3" t="inlineStr">
        <is>
          <t>extended</t>
        </is>
      </c>
    </row>
    <row r="24" ht="27" customHeight="1">
      <c r="A24" s="3" t="inlineStr">
        <is>
          <t>ΔG ArX•⁻ → Ar• + X⁻, bound radical anion only</t>
        </is>
      </c>
      <c r="B24" s="3" t="inlineStr">
        <is>
          <t>min_dG_frag_kcal</t>
        </is>
      </c>
      <c r="C24" s="3" t="inlineStr">
        <is>
          <t>kcal/mol</t>
        </is>
      </c>
      <c r="D24" s="3" t="inlineStr">
        <is>
          <t>As min_dG_frag_any, bound radical anions only.</t>
        </is>
      </c>
      <c r="E24" s="3" t="inlineStr">
        <is>
          <t>Fragmentation of a genuine intermediate.</t>
        </is>
      </c>
      <c r="F24" s="3" t="inlineStr">
        <is>
          <t>Bound radical anions only.</t>
        </is>
      </c>
      <c r="G24" s="3" t="inlineStr">
        <is>
          <t>extended</t>
        </is>
      </c>
    </row>
    <row r="25" ht="27" customHeight="1">
      <c r="A25" s="3" t="inlineStr">
        <is>
          <t>ΔG ArX•⁻ + e⁻ → Ar⁻ + X⁻, bound radical anion only</t>
        </is>
      </c>
      <c r="B25" s="3" t="inlineStr">
        <is>
          <t>min_dG_RA_2e_kcal</t>
        </is>
      </c>
      <c r="C25" s="3" t="inlineStr">
        <is>
          <t>kcal/mol</t>
        </is>
      </c>
      <c r="D25" s="3" t="inlineStr">
        <is>
          <t>As min_dG_RA_2e_any, bound radical anions only.</t>
        </is>
      </c>
      <c r="E25" s="3" t="inlineStr"/>
      <c r="F25" s="3" t="inlineStr">
        <is>
          <t>Bound radical anions only.</t>
        </is>
      </c>
      <c r="G25" s="3" t="inlineStr">
        <is>
          <t>extended</t>
        </is>
      </c>
    </row>
    <row r="26" ht="27" customHeight="1">
      <c r="A26" s="3" t="inlineStr">
        <is>
          <t>ΔG ArX + H⁺ + 2e⁻ → ArH + X⁻</t>
        </is>
      </c>
      <c r="B26" s="3" t="inlineStr">
        <is>
          <t>min_dG_2e_HDH_kcal</t>
        </is>
      </c>
      <c r="C26" s="3" t="inlineStr">
        <is>
          <t>kcal/mol</t>
        </is>
      </c>
      <c r="D26" s="3" t="inlineStr">
        <is>
          <t>ΔG of ArX + H⁺ + 2e⁻ → ArH + X⁻ (hydrodehalogenation), most favourable site.</t>
        </is>
      </c>
      <c r="E26" s="3" t="inlineStr">
        <is>
          <t>Overall driving force of the observed net reaction (the aryl carbanion is protonated).</t>
        </is>
      </c>
      <c r="F26" s="3" t="inlineStr">
        <is>
          <t>All compounds, all levels.</t>
        </is>
      </c>
      <c r="G26" s="3" t="inlineStr">
        <is>
          <t>extended</t>
        </is>
      </c>
    </row>
    <row r="27" ht="40.5" customHeight="1">
      <c r="A27" s="3" t="inlineStr">
        <is>
          <t>ΔG Ar• + e⁻ → Ar⁻</t>
        </is>
      </c>
      <c r="B27" s="3" t="inlineStr">
        <is>
          <t>min_dG_rad_red_kcal</t>
        </is>
      </c>
      <c r="C27" s="3" t="inlineStr">
        <is>
          <t>kcal/mol</t>
        </is>
      </c>
      <c r="D27" s="3" t="inlineStr">
        <is>
          <t>ΔG of Ar• + e⁻ → Ar⁻ for the aryl radical formed at the most favourable site.</t>
        </is>
      </c>
      <c r="E27" s="3" t="inlineStr">
        <is>
          <t>Reducibility of the aryl radical: decides whether the radical is reduced further (2e path) or reacts otherwise (H-abstraction, dimerisation).</t>
        </is>
      </c>
      <c r="F27" s="3" t="inlineStr">
        <is>
          <t>All compounds, all levels.</t>
        </is>
      </c>
      <c r="G27" s="3" t="inlineStr">
        <is>
          <t>extended</t>
        </is>
      </c>
    </row>
    <row r="28" ht="40.5" customHeight="1">
      <c r="A28" s="3" t="inlineStr">
        <is>
          <t>inner-sphere reorganisation energy</t>
        </is>
      </c>
      <c r="B28" s="3" t="inlineStr">
        <is>
          <t>lambda_i_kcal</t>
        </is>
      </c>
      <c r="C28" s="3" t="inlineStr">
        <is>
          <t>kcal/mol</t>
        </is>
      </c>
      <c r="D28" s="3" t="inlineStr">
        <is>
          <t>Nelsen four-point inner-sphere reorganisation energy of the ArX/ArX•⁻ couple, λ_i = [E(N@A) − E(N@N)] + [E(A@N) − E(A@A)].</t>
        </is>
      </c>
      <c r="E28" s="3" t="inlineStr">
        <is>
          <t>Inner-sphere contribution to the Marcus electron-transfer barrier (λ/4 at zero driving force).</t>
        </is>
      </c>
      <c r="F28" s="3" t="inlineStr">
        <is>
          <t>π radical anions only.</t>
        </is>
      </c>
      <c r="G28" s="3" t="inlineStr">
        <is>
          <t>extended</t>
        </is>
      </c>
    </row>
    <row r="29" ht="27" customHeight="1">
      <c r="A29" s="3" t="inlineStr">
        <is>
          <t>weakest C–X bond enthalpy</t>
        </is>
      </c>
      <c r="B29" s="3" t="inlineStr">
        <is>
          <t>min_BDE_kcal</t>
        </is>
      </c>
      <c r="C29" s="3" t="inlineStr">
        <is>
          <t>kcal/mol</t>
        </is>
      </c>
      <c r="D29" s="3" t="inlineStr">
        <is>
          <t>Weakest homolytic C–X bond enthalpy D = H(Ar•) + H(X•) − H(ArX), with the ²P₃/₂ spin–orbit correction of X•.</t>
        </is>
      </c>
      <c r="E29" s="3" t="inlineStr">
        <is>
          <t>Bond strength that the concerted pathway must overcome; D enters the Savéant intrinsic barrier.</t>
        </is>
      </c>
      <c r="F29" s="3" t="inlineStr">
        <is>
          <t>All compounds, all levels.</t>
        </is>
      </c>
      <c r="G29" s="3" t="inlineStr">
        <is>
          <t>extended</t>
        </is>
      </c>
    </row>
    <row r="30" ht="27" customHeight="1">
      <c r="A30" s="3" t="inlineStr">
        <is>
          <t>Savéant intrinsic barrier (weakest C–X)</t>
        </is>
      </c>
      <c r="B30" s="3" t="inlineStr">
        <is>
          <t>min_dG0_act_concerted_kcal</t>
        </is>
      </c>
      <c r="C30" s="3" t="inlineStr">
        <is>
          <t>kcal/mol</t>
        </is>
      </c>
      <c r="D30" s="3" t="inlineStr">
        <is>
          <t>Savéant intrinsic barrier ΔG₀‡ = (D + λ₀)/4 for the weakest bond; λ₀ from the Marcus–Hush one-sphere model.</t>
        </is>
      </c>
      <c r="E30" s="3" t="inlineStr">
        <is>
          <t>Barrier of concerted dissociative electron transfer at zero driving force.</t>
        </is>
      </c>
      <c r="F30" s="3" t="inlineStr">
        <is>
          <t>SMD levels only.</t>
        </is>
      </c>
      <c r="G30" s="3" t="inlineStr">
        <is>
          <t>extended</t>
        </is>
      </c>
    </row>
    <row r="31" ht="40.5" customHeight="1">
      <c r="A31" s="3" t="inlineStr">
        <is>
          <t>Savéant concerted barrier</t>
        </is>
      </c>
      <c r="B31" s="3" t="inlineStr">
        <is>
          <t>eff_dG_act_concerted_kcal @ -2.00 V</t>
        </is>
      </c>
      <c r="C31" s="3" t="inlineStr">
        <is>
          <t>kcal/mol</t>
        </is>
      </c>
      <c r="D31" s="3" t="inlineStr">
        <is>
          <t>Savéant concerted barrier ΔG‡(E) = ΔG₀‡(1 + ΔG°(E)/4ΔG₀‡)² at E = −2.0 V, combined over sites as −RT ln Σ g_i exp(−ΔG‡_i/RT).</t>
        </is>
      </c>
      <c r="E31" s="3" t="inlineStr">
        <is>
          <t>Predicted activation free energy of the concerted pathway at the experimental potential; transition-state theory predicts a slope of −1/RT (see slope×RT).</t>
        </is>
      </c>
      <c r="F31" s="3" t="inlineStr">
        <is>
          <t>SMD levels only.</t>
        </is>
      </c>
      <c r="G31" s="3" t="inlineStr">
        <is>
          <t>extended</t>
        </is>
      </c>
    </row>
    <row r="32" ht="27" customHeight="1">
      <c r="A32" s="3" t="inlineStr">
        <is>
          <t>stepwise ET + cleavage barrier</t>
        </is>
      </c>
      <c r="B32" s="3" t="inlineStr">
        <is>
          <t>eff_dG_act_stepwise_kcal @ -2.00 V</t>
        </is>
      </c>
      <c r="C32" s="3" t="inlineStr">
        <is>
          <t>kcal/mol</t>
        </is>
      </c>
      <c r="D32" s="3" t="inlineStr">
        <is>
          <t>Stepwise barrier: max of the ET barrier and ET + fragmentation TS, degeneracy-weighted.</t>
        </is>
      </c>
      <c r="E32" s="3" t="inlineStr"/>
      <c r="F32" s="3" t="inlineStr">
        <is>
          <t>Needs the TS stage (not run for these compounds).</t>
        </is>
      </c>
      <c r="G32" s="3" t="inlineStr">
        <is>
          <t>extended</t>
        </is>
      </c>
    </row>
    <row r="33" ht="27" customHeight="1">
      <c r="A33" s="3" t="inlineStr">
        <is>
          <t>combined stepwise + concerted</t>
        </is>
      </c>
      <c r="B33" s="3" t="inlineStr">
        <is>
          <t>eff_dG_act_combined_kcal @ -2.00 V</t>
        </is>
      </c>
      <c r="C33" s="3" t="inlineStr">
        <is>
          <t>kcal/mol</t>
        </is>
      </c>
      <c r="D33" s="3" t="inlineStr">
        <is>
          <t>Effective barrier combining the stepwise and concerted rates.</t>
        </is>
      </c>
      <c r="E33" s="3" t="inlineStr">
        <is>
          <t>Without TS barriers this equals the concerted barrier.</t>
        </is>
      </c>
      <c r="F33" s="3" t="inlineStr">
        <is>
          <t>SMD levels only.</t>
        </is>
      </c>
      <c r="G33" s="3" t="inlineStr">
        <is>
          <t>extended</t>
        </is>
      </c>
    </row>
    <row r="34">
      <c r="A34" s="3" t="inlineStr">
        <is>
          <t>C–X cleavage TS barrier of ArX•⁻</t>
        </is>
      </c>
      <c r="B34" s="3" t="inlineStr">
        <is>
          <t>eff_dG_act_frag_TS_kcal</t>
        </is>
      </c>
      <c r="C34" s="3" t="inlineStr">
        <is>
          <t>kcal/mol</t>
        </is>
      </c>
      <c r="D34" s="3" t="inlineStr">
        <is>
          <t>C–X cleavage TS barrier of the radical anion.</t>
        </is>
      </c>
      <c r="E34" s="3" t="inlineStr"/>
      <c r="F34" s="3" t="inlineStr">
        <is>
          <t>Needs the TS stage (not run).</t>
        </is>
      </c>
      <c r="G34" s="3" t="inlineStr">
        <is>
          <t>extended</t>
        </is>
      </c>
    </row>
    <row r="35" ht="40.5" customHeight="1">
      <c r="A35" s="3" t="inlineStr">
        <is>
          <t>largest Fukui f+ on a C–X bond</t>
        </is>
      </c>
      <c r="B35" s="3" t="inlineStr">
        <is>
          <t>max_fplus_CX</t>
        </is>
      </c>
      <c r="C35" s="3" t="inlineStr">
        <is>
          <t>e</t>
        </is>
      </c>
      <c r="D35" s="3" t="inlineStr">
        <is>
          <t>Largest condensed Fukui function f⁺ on a C–X bond (C + X), f⁺ = q_Hirshfeld(ArX) − q_Hirshfeld(ArX•⁻ at the neutral geometry).</t>
        </is>
      </c>
      <c r="E35" s="3" t="inlineStr">
        <is>
          <t>How much of the incoming electron lands on a C–X bond: a site-reactivity index for reductive cleavage.</t>
        </is>
      </c>
      <c r="F35" s="3" t="inlineStr">
        <is>
          <t>All compounds, all levels (sp stage).</t>
        </is>
      </c>
      <c r="G35" s="3" t="inlineStr">
        <is>
          <t>extended</t>
        </is>
      </c>
    </row>
    <row r="36" ht="27" customHeight="1">
      <c r="A36" s="3" t="inlineStr">
        <is>
          <t>weakest Wiberg C–X bond order</t>
        </is>
      </c>
      <c r="B36" s="3" t="inlineStr">
        <is>
          <t>min_wiberg_CX_parent</t>
        </is>
      </c>
      <c r="C36" s="3" t="inlineStr">
        <is>
          <t>-</t>
        </is>
      </c>
      <c r="D36" s="3" t="inlineStr">
        <is>
          <t>Smallest Wiberg C–X bond index of the neutral parent (NBO, NAO basis).</t>
        </is>
      </c>
      <c r="E36" s="3" t="inlineStr">
        <is>
          <t>Weaker (lower-order) C–X bonds should break more easily.</t>
        </is>
      </c>
      <c r="F36" s="3" t="inlineStr">
        <is>
          <t>All compounds, all levels (sp stage).</t>
        </is>
      </c>
      <c r="G36" s="3" t="inlineStr">
        <is>
          <t>extended</t>
        </is>
      </c>
    </row>
    <row r="37" ht="27" customHeight="1">
      <c r="A37" s="3" t="inlineStr">
        <is>
          <t>largest halogen spin density in ArX•⁻</t>
        </is>
      </c>
      <c r="B37" s="3" t="inlineStr">
        <is>
          <t>max_spin_RA_X</t>
        </is>
      </c>
      <c r="C37" s="3" t="inlineStr">
        <is>
          <t>e</t>
        </is>
      </c>
      <c r="D37" s="3" t="inlineStr">
        <is>
          <t>Largest Hirshfeld spin density on a halogen in the relaxed radical anion.</t>
        </is>
      </c>
      <c r="E37" s="3" t="inlineStr">
        <is>
          <t>σ* character: spin on X means the extra electron sits in the C–X σ* orbital.</t>
        </is>
      </c>
      <c r="F37" s="3" t="inlineStr">
        <is>
          <t>Bound radical anions only (sp of the radical anion).</t>
        </is>
      </c>
      <c r="G37" s="3" t="inlineStr">
        <is>
          <t>extended</t>
        </is>
      </c>
    </row>
    <row r="38" ht="27" customHeight="1">
      <c r="A38" s="3" t="inlineStr">
        <is>
          <t>largest C–X elongation in ArX•⁻</t>
        </is>
      </c>
      <c r="B38" s="3" t="inlineStr">
        <is>
          <t>max_dr_CX_RA_A</t>
        </is>
      </c>
      <c r="C38" s="3" t="inlineStr">
        <is>
          <t>Å</t>
        </is>
      </c>
      <c r="D38" s="3" t="inlineStr">
        <is>
          <t>Largest C–X lengthening in the relaxed radical anion relative to the parent.</t>
        </is>
      </c>
      <c r="E38" s="3" t="inlineStr">
        <is>
          <t>Degree of C–X σ* occupation; very large values mean the radical anion dissociated.</t>
        </is>
      </c>
      <c r="F38" s="3" t="inlineStr">
        <is>
          <t>All compounds, all levels.</t>
        </is>
      </c>
      <c r="G38" s="3" t="inlineStr">
        <is>
          <t>extended</t>
        </is>
      </c>
    </row>
    <row r="39"/>
    <row r="40">
      <c r="A40" s="4" t="inlineStr">
        <is>
          <t>Statistics</t>
        </is>
      </c>
    </row>
    <row r="41" ht="27" customHeight="1">
      <c r="A41" s="5" t="inlineStr">
        <is>
          <t>statistic</t>
        </is>
      </c>
      <c r="B41" s="5" t="inlineStr">
        <is>
          <t>definition</t>
        </is>
      </c>
      <c r="C41" s="5" t="inlineStr">
        <is>
          <t>how to read it</t>
        </is>
      </c>
      <c r="D41" s="5" t="inlineStr">
        <is>
          <t>caveats</t>
        </is>
      </c>
    </row>
    <row r="42" ht="108" customHeight="1">
      <c r="A42" s="3" t="inlineStr">
        <is>
          <t>n</t>
        </is>
      </c>
      <c r="B42" s="3" t="inlineStr">
        <is>
          <t>Number of compounds in the fit.</t>
        </is>
      </c>
      <c r="C42" s="3" t="inlineStr">
        <is>
          <t>Bromobenzene fits have n = 7; chlorobenzenes n = 5; halobenzenes n = 12; all n = 14.</t>
        </is>
      </c>
      <c r="D42" s="3" t="inlineStr">
        <is>
          <t>With n = 7, one unusual compound can dominate a fit.</t>
        </is>
      </c>
    </row>
    <row r="43" ht="135" customHeight="1">
      <c r="A43" s="3" t="inlineStr">
        <is>
          <t>slope, intercept</t>
        </is>
      </c>
      <c r="B43" s="3" t="inlineStr">
        <is>
          <t>Ordinary least squares: ln k_obs = slope·x + intercept.</t>
        </is>
      </c>
      <c r="C43" s="3" t="inlineStr">
        <is>
          <t>The slope sign shows the direction: for ΔG descriptors a negative slope means more exergonic → faster.</t>
        </is>
      </c>
      <c r="D43" s="3" t="inlineStr">
        <is>
          <t>Units: ln(h⁻¹) per descriptor unit.</t>
        </is>
      </c>
    </row>
    <row r="44" ht="108" customHeight="1">
      <c r="A44" s="3" t="inlineStr">
        <is>
          <t>r, R²</t>
        </is>
      </c>
      <c r="B44" s="3" t="inlineStr">
        <is>
          <t>Pearson correlation and coefficient of determination R² = 1 − SSE/SST, SST = Σ(ln k − mean)².</t>
        </is>
      </c>
      <c r="C44" s="3" t="inlineStr">
        <is>
          <t>Fraction of the variance of ln k_obs in the fitted set explained by the line (0 to 1).</t>
        </is>
      </c>
      <c r="D44" s="3" t="inlineStr">
        <is>
          <t>Describes the fit, not its predictive power; R² never decreases when predictors are added.</t>
        </is>
      </c>
    </row>
    <row r="45" ht="94.5" customHeight="1">
      <c r="A45" s="3" t="inlineStr">
        <is>
          <t>p</t>
        </is>
      </c>
      <c r="B45" s="3" t="inlineStr">
        <is>
          <t>Two-sided t-test of slope = 0 with n − 2 degrees of freedom.</t>
        </is>
      </c>
      <c r="C45" s="3" t="inlineStr">
        <is>
          <t>Probability of an |r| this large if there were no linear relationship.</t>
        </is>
      </c>
      <c r="D45" s="3" t="inlineStr">
        <is>
          <t>Not corrected for multiple testing: this workbook tests ~70 descriptor × level combinations, so about 3–4 would reach p &lt; 0.05 by chance. The Bonferroni column uses 0.05/(number of fits).</t>
        </is>
      </c>
    </row>
    <row r="46" ht="148.5" customHeight="1">
      <c r="A46" s="3" t="inlineStr">
        <is>
          <t>SSE, MSE, RMSE</t>
        </is>
      </c>
      <c r="B46" s="3" t="inlineStr">
        <is>
          <t>SSE = Σ residual²; MSE = SSE/n; RMSE = √MSE (in ln k units).</t>
        </is>
      </c>
      <c r="C46" s="3" t="inlineStr">
        <is>
          <t>Typical error of the fit. RMSE = 1 means a typical factor of e ≈ 2.7 in k_obs; RMSE = 0.5 means a factor of 1.6.</t>
        </is>
      </c>
      <c r="D46" s="3" t="inlineStr">
        <is>
          <t>In-sample: optimistic.</t>
        </is>
      </c>
    </row>
    <row r="47" ht="243" customHeight="1">
      <c r="A47" s="3" t="inlineStr">
        <is>
          <t>LOO RMSE, Q²</t>
        </is>
      </c>
      <c r="B47" s="3" t="inlineStr">
        <is>
          <t>Leave-one-out cross-validation: refit without each compound in turn and predict it; PRESS = Σ(prediction error)²; LOO RMSE = √(PRESS/n); Q² = 1 − PRESS/SST.</t>
        </is>
      </c>
      <c r="C47" s="3" t="inlineStr">
        <is>
          <t>Predictive ability within the fitted set. Q² close to R² means a robust fit; Q² much lower than R² means one compound is driving the fit; Q² &lt; 0 means the model predicts worse than the mean.</t>
        </is>
      </c>
      <c r="D47" s="3" t="inlineStr">
        <is>
          <t>Preferred ranking statistic here (Performance tab ranks by Q²).</t>
        </is>
      </c>
    </row>
    <row r="48" ht="121.5" customHeight="1">
      <c r="A48" s="3" t="inlineStr">
        <is>
          <t>ext RMSE</t>
        </is>
      </c>
      <c r="B48" s="3" t="inlineStr">
        <is>
          <t>RMSE of ln k_obs predicted by the bromobenzene fit for the compounds not used in the fit (chlorobenzenes and PBDEs).</t>
        </is>
      </c>
      <c r="C48" s="3" t="inlineStr">
        <is>
          <t>External validation: does the relationship transfer to other halogens and to the diphenyl ethers?</t>
        </is>
      </c>
      <c r="D48" s="3" t="inlineStr">
        <is>
          <t>A systematic offset (e.g. all PBDEs slower) inflates it even when the ranking is right.</t>
        </is>
      </c>
    </row>
    <row r="49" ht="81" customHeight="1">
      <c r="A49" s="3" t="inlineStr">
        <is>
          <t>R² halobenzenes / all</t>
        </is>
      </c>
      <c r="B49" s="3" t="inlineStr">
        <is>
          <t>R² of separate fits on the 12 bromo- plus chlorobenzenes, or all 14 compounds.</t>
        </is>
      </c>
      <c r="C49" s="3" t="inlineStr">
        <is>
          <t>Whether one line describes both halogens (and the PBDEs).</t>
        </is>
      </c>
      <c r="D49" s="3" t="inlineStr">
        <is>
          <t>These fits use more data but mix chemically different families.</t>
        </is>
      </c>
    </row>
    <row r="50" ht="135" customHeight="1">
      <c r="A50" s="3" t="inlineStr">
        <is>
          <t>adj R² (MLR)</t>
        </is>
      </c>
      <c r="B50" s="3" t="inlineStr">
        <is>
          <t>1 − (1 − R²)(n − 1)/(n − p − 1), p = 2 predictors.</t>
        </is>
      </c>
      <c r="C50" s="3" t="inlineStr">
        <is>
          <t>R² penalised for the extra parameter; compare MLR and single-descriptor models with adj R² and Q², not R².</t>
        </is>
      </c>
      <c r="D50" s="3" t="inlineStr">
        <is>
          <t>With n = 7 and 3 parameters only 4 degrees of freedom remain.</t>
        </is>
      </c>
    </row>
    <row r="51" ht="94.5" customHeight="1">
      <c r="A51" s="3" t="inlineStr">
        <is>
          <t>slope×RT</t>
        </is>
      </c>
      <c r="B51" s="3" t="inlineStr">
        <is>
          <t>−slope·RT for barrier descriptors (RT = 0.593 kcal/mol at 298 K).</t>
        </is>
      </c>
      <c r="C51" s="3" t="inlineStr">
        <is>
          <t>Transition-state theory predicts ln k = const − ΔG‡/RT, i.e. slope×RT = 1.</t>
        </is>
      </c>
      <c r="D51" s="3" t="inlineStr">
        <is>
          <t>Values far from 1 mean the barrier descriptor scales but does not match TST quantitatively.</t>
        </is>
      </c>
    </row>
    <row r="52"/>
    <row r="53">
      <c r="A53" s="4" t="inlineStr">
        <is>
          <t>Caveats</t>
        </is>
      </c>
    </row>
    <row r="54">
      <c r="A54" t="inlineStr">
        <is>
          <t>•</t>
        </is>
      </c>
      <c r="B54" s="3" t="inlineStr">
        <is>
          <t>Small data set: 7 bromobenzenes define each fit. Treat R² &gt; 0.9 with n = 7 as suggestive, and rely on Q² and the external RMSE for predictive claims.</t>
        </is>
      </c>
    </row>
    <row r="55">
      <c r="A55" t="inlineStr">
        <is>
          <t>•</t>
        </is>
      </c>
      <c r="B55" s="3" t="inlineStr">
        <is>
          <t>Multiple testing: many descriptors and four levels were screened. The best-looking fit is partly selected by chance; prefer descriptors that do well at several levels and in the external test.</t>
        </is>
      </c>
    </row>
    <row r="56">
      <c r="A56" t="inlineStr">
        <is>
          <t>•</t>
        </is>
      </c>
      <c r="B56" s="3" t="inlineStr">
        <is>
          <t>Collinearity: most descriptors correlate with the number of halogens (n_X). A descriptor that does not beat n_X adds little.</t>
        </is>
      </c>
    </row>
    <row r="57" ht="27" customHeight="1">
      <c r="A57" t="inlineStr">
        <is>
          <t>•</t>
        </is>
      </c>
      <c r="B57" s="3" t="inlineStr">
        <is>
          <t>Radical-anion state: at these levels most radical anions are bent σ-type or dissociated (Ar•···X⁻ complexes). *_any descriptors use the lowest radical-anion energy whatever its state; the 'bound radical anion only' descriptors are blank where it dissociated, so they have too few points to fit.</t>
        </is>
      </c>
    </row>
    <row r="58">
      <c r="A58" t="inlineStr">
        <is>
          <t>•</t>
        </is>
      </c>
      <c r="B58" s="3" t="inlineStr">
        <is>
          <t>Stepwise barriers need the TS stage, which was not run: C–X scans of the BDE-99 radical anion showed electronic-state crossings rather than saddle points.</t>
        </is>
      </c>
    </row>
    <row r="59">
      <c r="A59" t="inlineStr">
        <is>
          <t>•</t>
        </is>
      </c>
      <c r="B59" s="3" t="inlineStr">
        <is>
          <t>B3LYP/SMD BDE-99 radical anion did not finish (optimisation step limit), so the *_any descriptors of BDE-99 are missing at B3LYP/SMD.</t>
        </is>
      </c>
    </row>
    <row r="60">
      <c r="A60" t="inlineStr">
        <is>
          <t>•</t>
        </is>
      </c>
      <c r="B60" s="3" t="inlineStr">
        <is>
          <t>Chlorobenzene rate constants are unpublished and have no standard errors yet.</t>
        </is>
      </c>
    </row>
    <row r="61">
      <c r="A61" t="inlineStr">
        <is>
          <t>•</t>
        </is>
      </c>
      <c r="B61" s="3" t="inlineStr">
        <is>
          <t>Gas-phase vs SMD: the cathode is activated carbon, so neither gas phase nor bulk water is the true environment; compare both.</t>
        </is>
      </c>
    </row>
    <row r="62"/>
    <row r="63">
      <c r="A63" s="4" t="inlineStr">
        <is>
          <t>Conventions</t>
        </is>
      </c>
    </row>
    <row r="64">
      <c r="B64" s="3" t="inlineStr">
        <is>
          <t>T = 298.15 K; G(e⁻) = -0.867 kcal/mol (Fermi–Dirac); E_abs(SHE) = 4.281 V; SMD solutes +1.894 kcal/mol (1 atm → 1 M); potential-dependent barriers at -2.0 V vs SHE; ln k_obs with k_obs in h⁻¹.</t>
        </is>
      </c>
    </row>
  </sheetData>
  <mergeCells count="14">
    <mergeCell ref="B55:F55"/>
    <mergeCell ref="B4:E4"/>
    <mergeCell ref="B54:F54"/>
    <mergeCell ref="B64:F64"/>
    <mergeCell ref="B6:E6"/>
    <mergeCell ref="B58:F58"/>
    <mergeCell ref="B59:F59"/>
    <mergeCell ref="B60:F60"/>
    <mergeCell ref="B7:E7"/>
    <mergeCell ref="B61:F61"/>
    <mergeCell ref="B3:E3"/>
    <mergeCell ref="B5:E5"/>
    <mergeCell ref="B56:F56"/>
    <mergeCell ref="B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10" customWidth="1" min="4" max="4"/>
    <col width="8" customWidth="1" min="5" max="5"/>
    <col width="11" customWidth="1" min="6" max="6"/>
    <col width="11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1" customWidth="1" min="19" max="19"/>
    <col width="24" customWidth="1" min="20" max="20"/>
  </cols>
  <sheetData>
    <row r="1">
      <c r="A1" s="4" t="inlineStr">
        <is>
          <t>QSAR performance: ln k_obs vs computed descriptors (single-descriptor fits on the bromobenzenes, n = 7)</t>
        </is>
      </c>
    </row>
    <row r="2" ht="45" customHeight="1">
      <c r="A2" s="3" t="inlineStr">
        <is>
          <t>Ranked by leave-one-out Q² (predictive ability). R² describes the fit; Q² tests it by predicting each bromobenzene from the other six; ext RMSE applies the bromobenzene line to the chlorobenzenes and PBDEs, which were not used in the fit. RMSE values are in ln k units (1 = factor 2.7 in k_obs). Bonferroni p threshold for 69 fits: 7.2e-04. Definitions on the ReadMe tab.</t>
        </is>
      </c>
    </row>
    <row r="4">
      <c r="A4" s="4" t="inlineStr">
        <is>
          <t>1. Top 10 models (all levels)</t>
        </is>
      </c>
    </row>
    <row r="5" ht="27" customHeight="1">
      <c r="A5" s="5" t="inlineStr">
        <is>
          <t>rank</t>
        </is>
      </c>
      <c r="B5" s="5" t="inlineStr">
        <is>
          <t>level</t>
        </is>
      </c>
      <c r="C5" s="5" t="inlineStr">
        <is>
          <t>descriptor</t>
        </is>
      </c>
      <c r="D5" s="5" t="inlineStr">
        <is>
          <t>R²</t>
        </is>
      </c>
      <c r="E5" s="5" t="inlineStr">
        <is>
          <t>Q²</t>
        </is>
      </c>
      <c r="F5" s="5" t="inlineStr">
        <is>
          <t>RMSE</t>
        </is>
      </c>
      <c r="G5" s="5" t="inlineStr">
        <is>
          <t>LOO RMSE</t>
        </is>
      </c>
      <c r="H5" s="5" t="inlineStr">
        <is>
          <t>ext RMSE</t>
        </is>
      </c>
      <c r="I5" s="5" t="inlineStr">
        <is>
          <t>p</t>
        </is>
      </c>
      <c r="J5" s="5" t="inlineStr">
        <is>
          <t>p &lt; Bonferroni</t>
        </is>
      </c>
      <c r="K5" s="5" t="inlineStr">
        <is>
          <t>R² halobenzenes (n=12)</t>
        </is>
      </c>
      <c r="L5" s="5" t="inlineStr">
        <is>
          <t>chart tab</t>
        </is>
      </c>
    </row>
    <row r="6" ht="27" customHeight="1">
      <c r="A6" s="3" t="n">
        <v>1</v>
      </c>
      <c r="B6" s="3" t="inlineStr">
        <is>
          <t>M6gas</t>
        </is>
      </c>
      <c r="C6" s="3" t="inlineStr">
        <is>
          <t>ΔG ArX•⁻ + e⁻ → Ar⁻ + X⁻</t>
        </is>
      </c>
      <c r="D6" s="6" t="n">
        <v>0.9306</v>
      </c>
      <c r="E6" s="6" t="n">
        <v>0.8854</v>
      </c>
      <c r="F6" s="6" t="n">
        <v>0.7541</v>
      </c>
      <c r="G6" s="6" t="n">
        <v>0.9687</v>
      </c>
      <c r="H6" s="6" t="n">
        <v>4.085</v>
      </c>
      <c r="I6" s="7" t="n">
        <v>0.0004</v>
      </c>
      <c r="J6" s="3" t="inlineStr">
        <is>
          <t>yes</t>
        </is>
      </c>
      <c r="K6" s="6" t="n">
        <v>0.5516</v>
      </c>
      <c r="L6" s="8" t="inlineStr">
        <is>
          <t>M6gas 02 dG RA_2e_any</t>
        </is>
      </c>
    </row>
    <row r="7" ht="27" customHeight="1">
      <c r="A7" s="3" t="n">
        <v>2</v>
      </c>
      <c r="B7" s="3" t="inlineStr">
        <is>
          <t>B3gas</t>
        </is>
      </c>
      <c r="C7" s="3" t="inlineStr">
        <is>
          <t>ΔG ArX•⁻ + e⁻ → Ar⁻ + X⁻</t>
        </is>
      </c>
      <c r="D7" s="6" t="n">
        <v>0.9225</v>
      </c>
      <c r="E7" s="6" t="n">
        <v>0.8686</v>
      </c>
      <c r="F7" s="6" t="n">
        <v>0.7966</v>
      </c>
      <c r="G7" s="6" t="n">
        <v>1.0374</v>
      </c>
      <c r="H7" s="6" t="n">
        <v>4.418</v>
      </c>
      <c r="I7" s="7" t="n">
        <v>0.0005999999999999999</v>
      </c>
      <c r="J7" s="3" t="inlineStr">
        <is>
          <t>yes</t>
        </is>
      </c>
      <c r="K7" s="6" t="n">
        <v>0.4603</v>
      </c>
      <c r="L7" s="8" t="inlineStr">
        <is>
          <t>B3gas 02 dG RA_2e_any</t>
        </is>
      </c>
    </row>
    <row r="8" ht="27" customHeight="1">
      <c r="A8" s="3" t="n">
        <v>3</v>
      </c>
      <c r="B8" s="3" t="inlineStr">
        <is>
          <t>B3gas</t>
        </is>
      </c>
      <c r="C8" s="3" t="inlineStr">
        <is>
          <t>ΔG Ar• + e⁻ → Ar⁻</t>
        </is>
      </c>
      <c r="D8" s="6" t="n">
        <v>0.9473</v>
      </c>
      <c r="E8" s="6" t="n">
        <v>0.8653</v>
      </c>
      <c r="F8" s="6" t="n">
        <v>0.6572</v>
      </c>
      <c r="G8" s="6" t="n">
        <v>1.0504</v>
      </c>
      <c r="H8" s="6" t="n">
        <v>2.671</v>
      </c>
      <c r="I8" s="7" t="n">
        <v>0.0002</v>
      </c>
      <c r="J8" s="3" t="inlineStr">
        <is>
          <t>yes</t>
        </is>
      </c>
      <c r="K8" s="6" t="n">
        <v>0.7843</v>
      </c>
      <c r="L8" s="8" t="inlineStr">
        <is>
          <t>B3gas 01 dG rad_red</t>
        </is>
      </c>
    </row>
    <row r="9" ht="27" customHeight="1">
      <c r="A9" s="3" t="n">
        <v>4</v>
      </c>
      <c r="B9" s="3" t="inlineStr">
        <is>
          <t>M6gas</t>
        </is>
      </c>
      <c r="C9" s="3" t="inlineStr">
        <is>
          <t>ΔG Ar• + e⁻ → Ar⁻</t>
        </is>
      </c>
      <c r="D9" s="6" t="n">
        <v>0.9375</v>
      </c>
      <c r="E9" s="6" t="n">
        <v>0.8531</v>
      </c>
      <c r="F9" s="6" t="n">
        <v>0.7155</v>
      </c>
      <c r="G9" s="6" t="n">
        <v>1.097</v>
      </c>
      <c r="H9" s="6" t="n">
        <v>2.831</v>
      </c>
      <c r="I9" s="7" t="n">
        <v>0.0003</v>
      </c>
      <c r="J9" s="3" t="inlineStr">
        <is>
          <t>yes</t>
        </is>
      </c>
      <c r="K9" s="6" t="n">
        <v>0.772</v>
      </c>
      <c r="L9" s="8" t="inlineStr">
        <is>
          <t>M6gas 01 dG rad_red</t>
        </is>
      </c>
    </row>
    <row r="10" ht="40.5" customHeight="1">
      <c r="A10" s="3" t="n">
        <v>5</v>
      </c>
      <c r="B10" s="3" t="inlineStr">
        <is>
          <t>M6gas</t>
        </is>
      </c>
      <c r="C10" s="3" t="inlineStr">
        <is>
          <t>ΔG ArX + 2e⁻ → Ar⁻ + X⁻</t>
        </is>
      </c>
      <c r="D10" s="6" t="n">
        <v>0.9152</v>
      </c>
      <c r="E10" s="6" t="n">
        <v>0.7496</v>
      </c>
      <c r="F10" s="6" t="n">
        <v>0.8333</v>
      </c>
      <c r="G10" s="6" t="n">
        <v>1.4322</v>
      </c>
      <c r="H10" s="6" t="n">
        <v>1.887</v>
      </c>
      <c r="I10" s="7" t="n">
        <v>0.0007</v>
      </c>
      <c r="J10" s="3" t="inlineStr">
        <is>
          <t>yes</t>
        </is>
      </c>
      <c r="K10" s="6" t="n">
        <v>0.8748</v>
      </c>
      <c r="L10" s="8" t="inlineStr">
        <is>
          <t>M6gas 04 dG 2e_carbanion</t>
        </is>
      </c>
    </row>
    <row r="11" ht="27" customHeight="1">
      <c r="A11" s="3" t="n">
        <v>6</v>
      </c>
      <c r="B11" s="3" t="inlineStr">
        <is>
          <t>B3gas</t>
        </is>
      </c>
      <c r="C11" s="3" t="inlineStr">
        <is>
          <t>ΔG ArX•⁻ → Ar• + X⁻</t>
        </is>
      </c>
      <c r="D11" s="6" t="n">
        <v>0.9217</v>
      </c>
      <c r="E11" s="6" t="n">
        <v>0.7459</v>
      </c>
      <c r="F11" s="6" t="n">
        <v>0.8008999999999999</v>
      </c>
      <c r="G11" s="6" t="n">
        <v>1.4426</v>
      </c>
      <c r="H11" s="6" t="n">
        <v>2.058</v>
      </c>
      <c r="I11" s="7" t="n">
        <v>0.0005999999999999999</v>
      </c>
      <c r="J11" s="3" t="inlineStr">
        <is>
          <t>yes</t>
        </is>
      </c>
      <c r="K11" s="6" t="n">
        <v>0.8568</v>
      </c>
      <c r="L11" s="8" t="inlineStr">
        <is>
          <t>B3gas 03 dG frag_any</t>
        </is>
      </c>
    </row>
    <row r="12" ht="27" customHeight="1">
      <c r="A12" s="3" t="n">
        <v>7</v>
      </c>
      <c r="B12" s="3" t="inlineStr">
        <is>
          <t>B3SMD</t>
        </is>
      </c>
      <c r="C12" s="3" t="inlineStr">
        <is>
          <t>ΔG ArX•⁻ + e⁻ → Ar⁻ + X⁻</t>
        </is>
      </c>
      <c r="D12" s="6" t="n">
        <v>0.8928</v>
      </c>
      <c r="E12" s="6" t="n">
        <v>0.7358</v>
      </c>
      <c r="F12" s="6" t="n">
        <v>0.9370000000000001</v>
      </c>
      <c r="G12" s="6" t="n">
        <v>1.4711</v>
      </c>
      <c r="H12" s="6" t="n">
        <v>7.158</v>
      </c>
      <c r="I12" s="6" t="n">
        <v>0.0013</v>
      </c>
      <c r="J12" s="3" t="inlineStr">
        <is>
          <t>no</t>
        </is>
      </c>
      <c r="K12" s="6" t="n">
        <v>0.07679999999999999</v>
      </c>
      <c r="L12" s="8" t="inlineStr">
        <is>
          <t>B3SMD 02 dG RA_2e_any</t>
        </is>
      </c>
    </row>
    <row r="13" ht="40.5" customHeight="1">
      <c r="A13" s="3" t="n">
        <v>8</v>
      </c>
      <c r="B13" s="3" t="inlineStr">
        <is>
          <t>B3gas</t>
        </is>
      </c>
      <c r="C13" s="3" t="inlineStr">
        <is>
          <t>ΔG ArX + 2e⁻ → Ar⁻ + X⁻</t>
        </is>
      </c>
      <c r="D13" s="6" t="n">
        <v>0.9131</v>
      </c>
      <c r="E13" s="6" t="n">
        <v>0.722</v>
      </c>
      <c r="F13" s="6" t="n">
        <v>0.8438</v>
      </c>
      <c r="G13" s="6" t="n">
        <v>1.509</v>
      </c>
      <c r="H13" s="6" t="n">
        <v>1.77</v>
      </c>
      <c r="I13" s="7" t="n">
        <v>0.0008</v>
      </c>
      <c r="J13" s="3" t="inlineStr">
        <is>
          <t>no</t>
        </is>
      </c>
      <c r="K13" s="6" t="n">
        <v>0.8657</v>
      </c>
      <c r="L13" s="8" t="inlineStr">
        <is>
          <t>B3gas 05 dG 2e_carbanion</t>
        </is>
      </c>
    </row>
    <row r="14" ht="27" customHeight="1">
      <c r="A14" s="3" t="n">
        <v>9</v>
      </c>
      <c r="B14" s="3" t="inlineStr">
        <is>
          <t>M6gas</t>
        </is>
      </c>
      <c r="C14" s="3" t="inlineStr">
        <is>
          <t>ΔG ArX•⁻ → Ar• + X⁻</t>
        </is>
      </c>
      <c r="D14" s="6" t="n">
        <v>0.9175</v>
      </c>
      <c r="E14" s="6" t="n">
        <v>0.7183</v>
      </c>
      <c r="F14" s="6" t="n">
        <v>0.822</v>
      </c>
      <c r="G14" s="6" t="n">
        <v>1.5191</v>
      </c>
      <c r="H14" s="6" t="n">
        <v>1.927</v>
      </c>
      <c r="I14" s="7" t="n">
        <v>0.0007</v>
      </c>
      <c r="J14" s="3" t="inlineStr">
        <is>
          <t>yes</t>
        </is>
      </c>
      <c r="K14" s="6" t="n">
        <v>0.8357</v>
      </c>
      <c r="L14" s="8" t="inlineStr">
        <is>
          <t>M6gas 03 dG frag_any</t>
        </is>
      </c>
    </row>
    <row r="15" ht="27" customHeight="1">
      <c r="A15" s="3" t="n">
        <v>10</v>
      </c>
      <c r="B15" s="3" t="inlineStr">
        <is>
          <t>B3gas</t>
        </is>
      </c>
      <c r="C15" s="3" t="inlineStr">
        <is>
          <t>LUMO of the radical anion ArX•⁻</t>
        </is>
      </c>
      <c r="D15" s="6" t="n">
        <v>0.9211</v>
      </c>
      <c r="E15" s="6" t="n">
        <v>0.717</v>
      </c>
      <c r="F15" s="6" t="n">
        <v>0.8038999999999999</v>
      </c>
      <c r="G15" s="6" t="n">
        <v>1.5226</v>
      </c>
      <c r="H15" s="6" t="n">
        <v>1.584</v>
      </c>
      <c r="I15" s="7" t="n">
        <v>0.0005999999999999999</v>
      </c>
      <c r="J15" s="3" t="inlineStr">
        <is>
          <t>yes</t>
        </is>
      </c>
      <c r="K15" s="6" t="n">
        <v>0.8779</v>
      </c>
      <c r="L15" s="8" t="inlineStr">
        <is>
          <t>B3gas 04 LUMO_RA</t>
        </is>
      </c>
    </row>
    <row r="16"/>
    <row r="17"/>
    <row r="18">
      <c r="A18" s="4" t="inlineStr">
        <is>
          <t>2. Descriptor × level comparison (bromobenzene fits)</t>
        </is>
      </c>
    </row>
    <row r="19" ht="135" customHeight="1">
      <c r="A19" s="3" t="inlineStr">
        <is>
          <t>Bold = best value in that column. Blank = too few compounds with data at that level.</t>
        </is>
      </c>
    </row>
    <row r="20" ht="27" customHeight="1">
      <c r="A20" s="5" t="inlineStr">
        <is>
          <t>descriptor</t>
        </is>
      </c>
      <c r="B20" s="5" t="inlineStr">
        <is>
          <t>set</t>
        </is>
      </c>
      <c r="C20" s="5" t="inlineStr">
        <is>
          <t>B3gas R²</t>
        </is>
      </c>
      <c r="D20" s="5" t="inlineStr">
        <is>
          <t>B3SMD R²</t>
        </is>
      </c>
      <c r="E20" s="5" t="inlineStr">
        <is>
          <t>M6gas R²</t>
        </is>
      </c>
      <c r="F20" s="5" t="inlineStr">
        <is>
          <t>M6SMD R²</t>
        </is>
      </c>
      <c r="G20" s="5" t="inlineStr">
        <is>
          <t>B3gas Q²</t>
        </is>
      </c>
      <c r="H20" s="5" t="inlineStr">
        <is>
          <t>B3SMD Q²</t>
        </is>
      </c>
      <c r="I20" s="5" t="inlineStr">
        <is>
          <t>M6gas Q²</t>
        </is>
      </c>
      <c r="J20" s="5" t="inlineStr">
        <is>
          <t>M6SMD Q²</t>
        </is>
      </c>
      <c r="K20" s="5" t="inlineStr">
        <is>
          <t>B3gas ext RMSE</t>
        </is>
      </c>
      <c r="L20" s="5" t="inlineStr">
        <is>
          <t>B3SMD ext RMSE</t>
        </is>
      </c>
      <c r="M20" s="5" t="inlineStr">
        <is>
          <t>M6gas ext RMSE</t>
        </is>
      </c>
      <c r="N20" s="5" t="inlineStr">
        <is>
          <t>M6SMD ext RMSE</t>
        </is>
      </c>
      <c r="O20" s="5" t="inlineStr">
        <is>
          <t>B3gas R² halo</t>
        </is>
      </c>
      <c r="P20" s="5" t="inlineStr">
        <is>
          <t>B3SMD R² halo</t>
        </is>
      </c>
      <c r="Q20" s="5" t="inlineStr">
        <is>
          <t>M6gas R² halo</t>
        </is>
      </c>
      <c r="R20" s="5" t="inlineStr">
        <is>
          <t>M6SMD R² halo</t>
        </is>
      </c>
    </row>
    <row r="21" ht="27" customHeight="1">
      <c r="A21" s="3" t="inlineStr">
        <is>
          <t>LUMO of ArX</t>
        </is>
      </c>
      <c r="B21" s="3" t="inlineStr">
        <is>
          <t>thermo</t>
        </is>
      </c>
      <c r="C21" s="6" t="n">
        <v>0.8427</v>
      </c>
      <c r="D21" s="6" t="n">
        <v>0.8437</v>
      </c>
      <c r="E21" s="6" t="n">
        <v>0.7588</v>
      </c>
      <c r="F21" s="6" t="n">
        <v>0.7412</v>
      </c>
      <c r="G21" s="6" t="n">
        <v>0.2816</v>
      </c>
      <c r="H21" s="6" t="n">
        <v>0.2325</v>
      </c>
      <c r="I21" s="6" t="n">
        <v>-0.4638</v>
      </c>
      <c r="J21" s="6" t="n">
        <v>-0.6612</v>
      </c>
      <c r="K21" s="6" t="n">
        <v>1.541</v>
      </c>
      <c r="L21" s="9" t="n">
        <v>1.377</v>
      </c>
      <c r="M21" s="6" t="n">
        <v>1.623</v>
      </c>
      <c r="N21" s="9" t="n">
        <v>1.49</v>
      </c>
      <c r="O21" s="6" t="n">
        <v>0.7605</v>
      </c>
      <c r="P21" s="9" t="n">
        <v>0.7856</v>
      </c>
      <c r="Q21" s="6" t="n">
        <v>0.7078</v>
      </c>
      <c r="R21" s="6" t="n">
        <v>0.7094</v>
      </c>
    </row>
    <row r="22" ht="54" customHeight="1">
      <c r="A22" s="3" t="inlineStr">
        <is>
          <t>LUMO of the radical anion ArX•⁻</t>
        </is>
      </c>
      <c r="B22" s="3" t="inlineStr">
        <is>
          <t>thermo</t>
        </is>
      </c>
      <c r="C22" s="6" t="n">
        <v>0.9211</v>
      </c>
      <c r="D22" s="6" t="n">
        <v>0.7559</v>
      </c>
      <c r="E22" s="6" t="n">
        <v>0.4408</v>
      </c>
      <c r="F22" s="6" t="n">
        <v>0.1122</v>
      </c>
      <c r="G22" s="6" t="n">
        <v>0.717</v>
      </c>
      <c r="H22" s="6" t="n">
        <v>0.2752</v>
      </c>
      <c r="I22" s="6" t="n">
        <v>-0.3728</v>
      </c>
      <c r="J22" s="6" t="n">
        <v>-0.7702</v>
      </c>
      <c r="K22" s="6" t="n">
        <v>1.584</v>
      </c>
      <c r="L22" s="6" t="n">
        <v>7.304</v>
      </c>
      <c r="M22" s="6" t="n">
        <v>2.65</v>
      </c>
      <c r="N22" s="6" t="n">
        <v>1.963</v>
      </c>
      <c r="O22" s="9" t="n">
        <v>0.8779</v>
      </c>
      <c r="P22" s="6" t="n">
        <v>0.4134</v>
      </c>
      <c r="Q22" s="6" t="n">
        <v>0.3335</v>
      </c>
      <c r="R22" s="6" t="n">
        <v>0.2168</v>
      </c>
    </row>
    <row r="23" ht="40.5" customHeight="1">
      <c r="A23" s="3" t="inlineStr">
        <is>
          <t>ΔG ArX + e⁻ → Ar• + X⁻</t>
        </is>
      </c>
      <c r="B23" s="3" t="inlineStr">
        <is>
          <t>thermo</t>
        </is>
      </c>
      <c r="C23" s="6" t="n">
        <v>0.6614</v>
      </c>
      <c r="D23" s="6" t="n">
        <v>0.6778999999999999</v>
      </c>
      <c r="E23" s="6" t="n">
        <v>0.6766</v>
      </c>
      <c r="F23" s="6" t="n">
        <v>0.7086</v>
      </c>
      <c r="G23" s="6" t="n">
        <v>-1.6937</v>
      </c>
      <c r="H23" s="6" t="n">
        <v>-0.7484</v>
      </c>
      <c r="I23" s="6" t="n">
        <v>-2.1303</v>
      </c>
      <c r="J23" s="6" t="n">
        <v>-0.7651</v>
      </c>
      <c r="K23" s="6" t="n">
        <v>4.201</v>
      </c>
      <c r="L23" s="6" t="n">
        <v>3.362</v>
      </c>
      <c r="M23" s="6" t="n">
        <v>7.083</v>
      </c>
      <c r="N23" s="6" t="n">
        <v>2.993</v>
      </c>
      <c r="O23" s="6" t="n">
        <v>0.3486</v>
      </c>
      <c r="P23" s="6" t="n">
        <v>0.3666</v>
      </c>
      <c r="Q23" s="6" t="n">
        <v>0.1941</v>
      </c>
      <c r="R23" s="6" t="n">
        <v>0.4351</v>
      </c>
    </row>
    <row r="24" ht="40.5" customHeight="1">
      <c r="A24" s="3" t="inlineStr">
        <is>
          <t>ΔG ArX + 2e⁻ → Ar⁻ + X⁻</t>
        </is>
      </c>
      <c r="B24" s="3" t="inlineStr">
        <is>
          <t>thermo</t>
        </is>
      </c>
      <c r="C24" s="6" t="n">
        <v>0.9131</v>
      </c>
      <c r="D24" s="6" t="n">
        <v>0.8416</v>
      </c>
      <c r="E24" s="6" t="n">
        <v>0.9152</v>
      </c>
      <c r="F24" s="6" t="n">
        <v>0.8592</v>
      </c>
      <c r="G24" s="6" t="n">
        <v>0.722</v>
      </c>
      <c r="H24" s="6" t="n">
        <v>0.4375</v>
      </c>
      <c r="I24" s="6" t="n">
        <v>0.7496</v>
      </c>
      <c r="J24" s="6" t="n">
        <v>0.5379</v>
      </c>
      <c r="K24" s="6" t="n">
        <v>1.77</v>
      </c>
      <c r="L24" s="6" t="n">
        <v>3.16</v>
      </c>
      <c r="M24" s="6" t="n">
        <v>1.887</v>
      </c>
      <c r="N24" s="6" t="n">
        <v>3.122</v>
      </c>
      <c r="O24" s="6" t="n">
        <v>0.8657</v>
      </c>
      <c r="P24" s="6" t="n">
        <v>0.5854</v>
      </c>
      <c r="Q24" s="9" t="n">
        <v>0.8748</v>
      </c>
      <c r="R24" s="6" t="n">
        <v>0.6139</v>
      </c>
    </row>
    <row r="25" ht="40.5" customHeight="1">
      <c r="A25" s="3" t="inlineStr">
        <is>
          <t>ΔG ArX + e⁻ → ArX•⁻</t>
        </is>
      </c>
      <c r="B25" s="3" t="inlineStr">
        <is>
          <t>thermo</t>
        </is>
      </c>
      <c r="C25" s="6" t="n">
        <v>0.8571</v>
      </c>
      <c r="D25" s="6" t="n">
        <v>0.7489</v>
      </c>
      <c r="E25" s="6" t="n">
        <v>0.8662</v>
      </c>
      <c r="F25" s="6" t="n">
        <v>0.4856</v>
      </c>
      <c r="G25" s="6" t="n">
        <v>0.311</v>
      </c>
      <c r="H25" s="6" t="n">
        <v>-0.253</v>
      </c>
      <c r="I25" s="6" t="n">
        <v>0.402</v>
      </c>
      <c r="J25" s="6" t="n">
        <v>-0.9527</v>
      </c>
      <c r="K25" s="6" t="n">
        <v>1.723</v>
      </c>
      <c r="L25" s="6" t="n">
        <v>3.474</v>
      </c>
      <c r="M25" s="6" t="n">
        <v>2.164</v>
      </c>
      <c r="N25" s="6" t="n">
        <v>1.905</v>
      </c>
      <c r="O25" s="6" t="n">
        <v>0.8371</v>
      </c>
      <c r="P25" s="6" t="n">
        <v>0.6344</v>
      </c>
      <c r="Q25" s="6" t="n">
        <v>0.7717000000000001</v>
      </c>
      <c r="R25" s="6" t="n">
        <v>0.4882</v>
      </c>
    </row>
    <row r="26" ht="40.5" customHeight="1">
      <c r="A26" s="3" t="inlineStr">
        <is>
          <t>ΔG ArX•⁻ → Ar• + X⁻</t>
        </is>
      </c>
      <c r="B26" s="3" t="inlineStr">
        <is>
          <t>thermo</t>
        </is>
      </c>
      <c r="C26" s="6" t="n">
        <v>0.9217</v>
      </c>
      <c r="D26" s="6" t="n">
        <v>0.8027</v>
      </c>
      <c r="E26" s="6" t="n">
        <v>0.9175</v>
      </c>
      <c r="F26" s="6" t="n">
        <v>0.3153</v>
      </c>
      <c r="G26" s="6" t="n">
        <v>0.7459</v>
      </c>
      <c r="H26" s="6" t="n">
        <v>0.526</v>
      </c>
      <c r="I26" s="6" t="n">
        <v>0.7183</v>
      </c>
      <c r="J26" s="6" t="n">
        <v>-6.7526</v>
      </c>
      <c r="K26" s="6" t="n">
        <v>2.058</v>
      </c>
      <c r="L26" s="6" t="n">
        <v>13.058</v>
      </c>
      <c r="M26" s="6" t="n">
        <v>1.927</v>
      </c>
      <c r="N26" s="6" t="n">
        <v>2.161</v>
      </c>
      <c r="O26" s="6" t="n">
        <v>0.8568</v>
      </c>
      <c r="P26" s="6" t="n">
        <v>0.4269</v>
      </c>
      <c r="Q26" s="6" t="n">
        <v>0.8357</v>
      </c>
      <c r="R26" s="6" t="n">
        <v>0.3475</v>
      </c>
    </row>
    <row r="27" ht="40.5" customHeight="1">
      <c r="A27" s="3" t="inlineStr">
        <is>
          <t>ΔG ArX•⁻ + e⁻ → Ar⁻ + X⁻</t>
        </is>
      </c>
      <c r="B27" s="3" t="inlineStr">
        <is>
          <t>thermo</t>
        </is>
      </c>
      <c r="C27" s="6" t="n">
        <v>0.9225</v>
      </c>
      <c r="D27" s="6" t="n">
        <v>0.8928</v>
      </c>
      <c r="E27" s="6" t="n">
        <v>0.9306</v>
      </c>
      <c r="F27" s="6" t="n">
        <v>0.1955</v>
      </c>
      <c r="G27" s="9" t="n">
        <v>0.8686</v>
      </c>
      <c r="H27" s="9" t="n">
        <v>0.7358</v>
      </c>
      <c r="I27" s="9" t="n">
        <v>0.8854</v>
      </c>
      <c r="J27" s="6" t="n">
        <v>-1.3665</v>
      </c>
      <c r="K27" s="6" t="n">
        <v>4.418</v>
      </c>
      <c r="L27" s="6" t="n">
        <v>7.158</v>
      </c>
      <c r="M27" s="6" t="n">
        <v>4.085</v>
      </c>
      <c r="N27" s="6" t="n">
        <v>3.789</v>
      </c>
      <c r="O27" s="6" t="n">
        <v>0.4603</v>
      </c>
      <c r="P27" s="6" t="n">
        <v>0.07679999999999999</v>
      </c>
      <c r="Q27" s="6" t="n">
        <v>0.5516</v>
      </c>
      <c r="R27" s="6" t="n">
        <v>0.0294</v>
      </c>
    </row>
    <row r="28" ht="40.5" customHeight="1">
      <c r="A28" s="3" t="inlineStr">
        <is>
          <t>number of halogens</t>
        </is>
      </c>
      <c r="B28" s="3" t="inlineStr">
        <is>
          <t>extended</t>
        </is>
      </c>
      <c r="C28" s="6" t="n">
        <v>0.8601</v>
      </c>
      <c r="D28" s="6" t="n">
        <v>0.8601</v>
      </c>
      <c r="E28" s="6" t="n">
        <v>0.8601</v>
      </c>
      <c r="F28" s="6" t="n">
        <v>0.8601</v>
      </c>
      <c r="G28" s="6" t="n">
        <v>0.4698</v>
      </c>
      <c r="H28" s="6" t="n">
        <v>0.4698</v>
      </c>
      <c r="I28" s="6" t="n">
        <v>0.4698</v>
      </c>
      <c r="J28" s="6" t="n">
        <v>0.4698</v>
      </c>
      <c r="K28" s="6" t="n">
        <v>2.545</v>
      </c>
      <c r="L28" s="6" t="n">
        <v>2.545</v>
      </c>
      <c r="M28" s="6" t="n">
        <v>2.545</v>
      </c>
      <c r="N28" s="6" t="n">
        <v>2.545</v>
      </c>
      <c r="O28" s="6" t="n">
        <v>0.7082000000000001</v>
      </c>
      <c r="P28" s="6" t="n">
        <v>0.7082000000000001</v>
      </c>
      <c r="Q28" s="6" t="n">
        <v>0.7082000000000001</v>
      </c>
      <c r="R28" s="6" t="n">
        <v>0.7082000000000001</v>
      </c>
    </row>
    <row r="29" ht="40.5" customHeight="1">
      <c r="A29" s="3" t="inlineStr">
        <is>
          <t>vertical electron affinity</t>
        </is>
      </c>
      <c r="B29" s="3" t="inlineStr">
        <is>
          <t>extended</t>
        </is>
      </c>
      <c r="C29" s="6" t="n">
        <v>0.8015</v>
      </c>
      <c r="D29" s="6" t="n">
        <v>0.7452</v>
      </c>
      <c r="E29" s="6" t="n">
        <v>0.8028999999999999</v>
      </c>
      <c r="F29" s="6" t="n">
        <v>0.8275</v>
      </c>
      <c r="G29" s="6" t="n">
        <v>0.37</v>
      </c>
      <c r="H29" s="6" t="n">
        <v>-0.4275</v>
      </c>
      <c r="I29" s="6" t="n">
        <v>0.4874</v>
      </c>
      <c r="J29" s="6" t="n">
        <v>0.2059</v>
      </c>
      <c r="K29" s="6" t="n">
        <v>1.619</v>
      </c>
      <c r="L29" s="6" t="n">
        <v>1.655</v>
      </c>
      <c r="M29" s="6" t="n">
        <v>1.806</v>
      </c>
      <c r="N29" s="6" t="n">
        <v>1.696</v>
      </c>
      <c r="O29" s="6" t="n">
        <v>0.7332</v>
      </c>
      <c r="P29" s="6" t="n">
        <v>0.678</v>
      </c>
      <c r="Q29" s="6" t="n">
        <v>0.7374000000000001</v>
      </c>
      <c r="R29" s="9" t="n">
        <v>0.7322</v>
      </c>
    </row>
    <row r="30" ht="54" customHeight="1">
      <c r="A30" s="3" t="inlineStr">
        <is>
          <t>electrophilicity index (ΔSCF)</t>
        </is>
      </c>
      <c r="B30" s="3" t="inlineStr">
        <is>
          <t>extended</t>
        </is>
      </c>
      <c r="C30" s="6" t="n">
        <v>0.7379</v>
      </c>
      <c r="D30" s="6" t="n">
        <v>0.6786</v>
      </c>
      <c r="E30" s="6" t="n">
        <v>0.7629</v>
      </c>
      <c r="F30" s="6" t="n">
        <v>0.7953</v>
      </c>
      <c r="G30" s="6" t="n">
        <v>-0.0455</v>
      </c>
      <c r="H30" s="6" t="n">
        <v>-1.5279</v>
      </c>
      <c r="I30" s="6" t="n">
        <v>0.2394</v>
      </c>
      <c r="J30" s="6" t="n">
        <v>-0.1301</v>
      </c>
      <c r="K30" s="9" t="n">
        <v>1.519</v>
      </c>
      <c r="L30" s="6" t="n">
        <v>1.719</v>
      </c>
      <c r="M30" s="9" t="n">
        <v>1.577</v>
      </c>
      <c r="N30" s="6" t="n">
        <v>1.638</v>
      </c>
      <c r="O30" s="6" t="n">
        <v>0.6953</v>
      </c>
      <c r="P30" s="6" t="n">
        <v>0.6268</v>
      </c>
      <c r="Q30" s="6" t="n">
        <v>0.7188</v>
      </c>
      <c r="R30" s="6" t="n">
        <v>0.7301</v>
      </c>
    </row>
    <row r="31" ht="54" customHeight="1">
      <c r="A31" s="3" t="inlineStr">
        <is>
          <t>ΔG ArX + H⁺ + 2e⁻ → ArH + X⁻</t>
        </is>
      </c>
      <c r="B31" s="3" t="inlineStr">
        <is>
          <t>extended</t>
        </is>
      </c>
      <c r="C31" s="6" t="n">
        <v>0.7562</v>
      </c>
      <c r="D31" s="6" t="n">
        <v>0.785</v>
      </c>
      <c r="E31" s="6" t="n">
        <v>0.7853</v>
      </c>
      <c r="F31" s="6" t="n">
        <v>0.8172</v>
      </c>
      <c r="G31" s="6" t="n">
        <v>0.0213</v>
      </c>
      <c r="H31" s="6" t="n">
        <v>0.3003</v>
      </c>
      <c r="I31" s="6" t="n">
        <v>0.0999</v>
      </c>
      <c r="J31" s="6" t="n">
        <v>0.3868</v>
      </c>
      <c r="K31" s="6" t="n">
        <v>3.233</v>
      </c>
      <c r="L31" s="6" t="n">
        <v>3.994</v>
      </c>
      <c r="M31" s="6" t="n">
        <v>5.036</v>
      </c>
      <c r="N31" s="6" t="n">
        <v>3.51</v>
      </c>
      <c r="O31" s="6" t="n">
        <v>0.5178</v>
      </c>
      <c r="P31" s="6" t="n">
        <v>0.3842</v>
      </c>
      <c r="Q31" s="6" t="n">
        <v>0.3672</v>
      </c>
      <c r="R31" s="6" t="n">
        <v>0.4663</v>
      </c>
    </row>
    <row r="32" ht="27" customHeight="1">
      <c r="A32" s="3" t="inlineStr">
        <is>
          <t>ΔG Ar• + e⁻ → Ar⁻</t>
        </is>
      </c>
      <c r="B32" s="3" t="inlineStr">
        <is>
          <t>extended</t>
        </is>
      </c>
      <c r="C32" s="9" t="n">
        <v>0.9473</v>
      </c>
      <c r="D32" s="9" t="n">
        <v>0.8933</v>
      </c>
      <c r="E32" s="9" t="n">
        <v>0.9375</v>
      </c>
      <c r="F32" s="9" t="n">
        <v>0.8924</v>
      </c>
      <c r="G32" s="6" t="n">
        <v>0.8653</v>
      </c>
      <c r="H32" s="6" t="n">
        <v>0.6844</v>
      </c>
      <c r="I32" s="6" t="n">
        <v>0.8531</v>
      </c>
      <c r="J32" s="9" t="n">
        <v>0.7114</v>
      </c>
      <c r="K32" s="6" t="n">
        <v>2.671</v>
      </c>
      <c r="L32" s="6" t="n">
        <v>3.301</v>
      </c>
      <c r="M32" s="6" t="n">
        <v>2.831</v>
      </c>
      <c r="N32" s="6" t="n">
        <v>3.432</v>
      </c>
      <c r="O32" s="6" t="n">
        <v>0.7843</v>
      </c>
      <c r="P32" s="6" t="n">
        <v>0.653</v>
      </c>
      <c r="Q32" s="6" t="n">
        <v>0.772</v>
      </c>
      <c r="R32" s="6" t="n">
        <v>0.6424</v>
      </c>
    </row>
    <row r="33" ht="40.5" customHeight="1">
      <c r="A33" s="3" t="inlineStr">
        <is>
          <t>weakest C–X bond enthalpy</t>
        </is>
      </c>
      <c r="B33" s="3" t="inlineStr">
        <is>
          <t>extended</t>
        </is>
      </c>
      <c r="C33" s="6" t="n">
        <v>0.6258</v>
      </c>
      <c r="D33" s="6" t="n">
        <v>0.6652</v>
      </c>
      <c r="E33" s="6" t="n">
        <v>0.6389</v>
      </c>
      <c r="F33" s="6" t="n">
        <v>0.7007</v>
      </c>
      <c r="G33" s="6" t="n">
        <v>-1.3979</v>
      </c>
      <c r="H33" s="6" t="n">
        <v>-0.9488</v>
      </c>
      <c r="I33" s="6" t="n">
        <v>-2.0922</v>
      </c>
      <c r="J33" s="6" t="n">
        <v>-1.0808</v>
      </c>
      <c r="K33" s="6" t="n">
        <v>8.143000000000001</v>
      </c>
      <c r="L33" s="6" t="n">
        <v>8.507999999999999</v>
      </c>
      <c r="M33" s="6" t="n">
        <v>14.539</v>
      </c>
      <c r="N33" s="6" t="n">
        <v>15.162</v>
      </c>
      <c r="O33" s="6" t="n">
        <v>0.1575</v>
      </c>
      <c r="P33" s="6" t="n">
        <v>0.1602</v>
      </c>
      <c r="Q33" s="6" t="n">
        <v>0.0775</v>
      </c>
      <c r="R33" s="6" t="n">
        <v>0.0822</v>
      </c>
    </row>
    <row r="34" ht="67.5" customHeight="1">
      <c r="A34" s="3" t="inlineStr">
        <is>
          <t>Savéant intrinsic barrier (weakest C–X)</t>
        </is>
      </c>
      <c r="B34" s="3" t="inlineStr">
        <is>
          <t>extended</t>
        </is>
      </c>
      <c r="C34" s="3" t="n"/>
      <c r="D34" s="6" t="n">
        <v>0.7877999999999999</v>
      </c>
      <c r="E34" s="3" t="n"/>
      <c r="F34" s="6" t="n">
        <v>0.8285</v>
      </c>
      <c r="G34" s="3" t="n"/>
      <c r="H34" s="6" t="n">
        <v>-0.09470000000000001</v>
      </c>
      <c r="I34" s="3" t="n"/>
      <c r="J34" s="6" t="n">
        <v>0.1375</v>
      </c>
      <c r="K34" s="3" t="n"/>
      <c r="L34" s="6" t="n">
        <v>6.197</v>
      </c>
      <c r="M34" s="3" t="n"/>
      <c r="N34" s="6" t="n">
        <v>9.532999999999999</v>
      </c>
      <c r="O34" s="3" t="n"/>
      <c r="P34" s="6" t="n">
        <v>0.3017</v>
      </c>
      <c r="Q34" s="3" t="n"/>
      <c r="R34" s="6" t="n">
        <v>0.1888</v>
      </c>
    </row>
    <row r="35" ht="40.5" customHeight="1">
      <c r="A35" s="3" t="inlineStr">
        <is>
          <t>Savéant concerted barrier</t>
        </is>
      </c>
      <c r="B35" s="3" t="inlineStr">
        <is>
          <t>extended</t>
        </is>
      </c>
      <c r="C35" s="3" t="n"/>
      <c r="D35" s="6" t="n">
        <v>0.7709</v>
      </c>
      <c r="E35" s="3" t="n"/>
      <c r="F35" s="6" t="n">
        <v>0.8007</v>
      </c>
      <c r="G35" s="3" t="n"/>
      <c r="H35" s="6" t="n">
        <v>-0.2348</v>
      </c>
      <c r="I35" s="3" t="n"/>
      <c r="J35" s="6" t="n">
        <v>-0.0434</v>
      </c>
      <c r="K35" s="3" t="n"/>
      <c r="L35" s="6" t="n">
        <v>1.482</v>
      </c>
      <c r="M35" s="3" t="n"/>
      <c r="N35" s="6" t="n">
        <v>2.672</v>
      </c>
      <c r="O35" s="3" t="n"/>
      <c r="P35" s="6" t="n">
        <v>0.7556</v>
      </c>
      <c r="Q35" s="3" t="n"/>
      <c r="R35" s="6" t="n">
        <v>0.6002999999999999</v>
      </c>
    </row>
    <row r="36" ht="54" customHeight="1">
      <c r="A36" s="3" t="inlineStr">
        <is>
          <t>combined stepwise + concerted</t>
        </is>
      </c>
      <c r="B36" s="3" t="inlineStr">
        <is>
          <t>extended</t>
        </is>
      </c>
      <c r="C36" s="3" t="n"/>
      <c r="D36" s="3" t="n"/>
      <c r="E36" s="3" t="n"/>
      <c r="F36" s="6" t="n">
        <v>0.8007</v>
      </c>
      <c r="G36" s="3" t="n"/>
      <c r="H36" s="3" t="n"/>
      <c r="I36" s="3" t="n"/>
      <c r="J36" s="6" t="n">
        <v>-0.0434</v>
      </c>
      <c r="K36" s="3" t="n"/>
      <c r="L36" s="3" t="n"/>
      <c r="M36" s="3" t="n"/>
      <c r="N36" s="6" t="n">
        <v>2.672</v>
      </c>
      <c r="O36" s="3" t="n"/>
      <c r="P36" s="3" t="n"/>
      <c r="Q36" s="3" t="n"/>
      <c r="R36" s="6" t="n">
        <v>0.6002999999999999</v>
      </c>
    </row>
    <row r="37" ht="54" customHeight="1">
      <c r="A37" s="3" t="inlineStr">
        <is>
          <t>largest Fukui f+ on a C–X bond</t>
        </is>
      </c>
      <c r="B37" s="3" t="inlineStr">
        <is>
          <t>extended</t>
        </is>
      </c>
      <c r="C37" s="6" t="n">
        <v>0.035</v>
      </c>
      <c r="D37" s="6" t="n">
        <v>0.161</v>
      </c>
      <c r="E37" s="6" t="n">
        <v>0.0066</v>
      </c>
      <c r="F37" s="6" t="n">
        <v>0.5331</v>
      </c>
      <c r="G37" s="6" t="n">
        <v>-1.584</v>
      </c>
      <c r="H37" s="6" t="n">
        <v>-3.1062</v>
      </c>
      <c r="I37" s="6" t="n">
        <v>-2.112</v>
      </c>
      <c r="J37" s="6" t="n">
        <v>0.1795</v>
      </c>
      <c r="K37" s="6" t="n">
        <v>2.754</v>
      </c>
      <c r="L37" s="6" t="n">
        <v>2.089</v>
      </c>
      <c r="M37" s="6" t="n">
        <v>2.549</v>
      </c>
      <c r="N37" s="6" t="n">
        <v>5.003</v>
      </c>
      <c r="O37" s="6" t="n">
        <v>0.005</v>
      </c>
      <c r="P37" s="6" t="n">
        <v>0.2479</v>
      </c>
      <c r="Q37" s="6" t="n">
        <v>0.0119</v>
      </c>
      <c r="R37" s="6" t="n">
        <v>0.3151</v>
      </c>
    </row>
    <row r="38" ht="54" customHeight="1">
      <c r="A38" s="3" t="inlineStr">
        <is>
          <t>weakest Wiberg C–X bond order</t>
        </is>
      </c>
      <c r="B38" s="3" t="inlineStr">
        <is>
          <t>extended</t>
        </is>
      </c>
      <c r="C38" s="6" t="n">
        <v>0.8463000000000001</v>
      </c>
      <c r="D38" s="6" t="n">
        <v>0.8813</v>
      </c>
      <c r="E38" s="6" t="n">
        <v>0.8583</v>
      </c>
      <c r="F38" s="6" t="n">
        <v>0.8822</v>
      </c>
      <c r="G38" s="6" t="n">
        <v>0.5788</v>
      </c>
      <c r="H38" s="6" t="n">
        <v>0.6733</v>
      </c>
      <c r="I38" s="6" t="n">
        <v>0.6136</v>
      </c>
      <c r="J38" s="6" t="n">
        <v>0.6738</v>
      </c>
      <c r="K38" s="6" t="n">
        <v>7.403</v>
      </c>
      <c r="L38" s="6" t="n">
        <v>5.46</v>
      </c>
      <c r="M38" s="6" t="n">
        <v>7.137</v>
      </c>
      <c r="N38" s="6" t="n">
        <v>5.318</v>
      </c>
      <c r="O38" s="6" t="n">
        <v>0.2244</v>
      </c>
      <c r="P38" s="6" t="n">
        <v>0.3776</v>
      </c>
      <c r="Q38" s="6" t="n">
        <v>0.2466</v>
      </c>
      <c r="R38" s="6" t="n">
        <v>0.3934</v>
      </c>
    </row>
    <row r="39" ht="54" customHeight="1">
      <c r="A39" s="3" t="inlineStr">
        <is>
          <t>largest C–X elongation in ArX•⁻</t>
        </is>
      </c>
      <c r="B39" s="3" t="inlineStr">
        <is>
          <t>extended</t>
        </is>
      </c>
      <c r="C39" s="6" t="n">
        <v>0.3399</v>
      </c>
      <c r="D39" s="6" t="n">
        <v>0.2416</v>
      </c>
      <c r="E39" s="6" t="n">
        <v>0.1135</v>
      </c>
      <c r="F39" s="6" t="n">
        <v>0.31</v>
      </c>
      <c r="G39" s="6" t="n">
        <v>-0.3259</v>
      </c>
      <c r="H39" s="6" t="n">
        <v>-0.8336</v>
      </c>
      <c r="I39" s="6" t="n">
        <v>-0.9953</v>
      </c>
      <c r="J39" s="6" t="n">
        <v>-1.063</v>
      </c>
      <c r="K39" s="6" t="n">
        <v>3.101</v>
      </c>
      <c r="L39" s="6" t="n">
        <v>5.995</v>
      </c>
      <c r="M39" s="6" t="n">
        <v>2.673</v>
      </c>
      <c r="N39" s="6" t="n">
        <v>2.77</v>
      </c>
      <c r="O39" s="6" t="n">
        <v>0.1292</v>
      </c>
      <c r="P39" s="6" t="n">
        <v>0.0266</v>
      </c>
      <c r="Q39" s="6" t="n">
        <v>0.0518</v>
      </c>
      <c r="R39" s="6" t="n">
        <v>0.1161</v>
      </c>
    </row>
    <row r="40"/>
    <row r="41"/>
    <row r="42">
      <c r="A42" s="4" t="inlineStr">
        <is>
          <t>3. All single-descriptor fits (sorted by Q²)</t>
        </is>
      </c>
    </row>
    <row r="43" ht="27" customHeight="1">
      <c r="A43" s="5" t="inlineStr">
        <is>
          <t>level</t>
        </is>
      </c>
      <c r="B43" s="5" t="inlineStr">
        <is>
          <t>descriptor</t>
        </is>
      </c>
      <c r="C43" s="5" t="inlineStr">
        <is>
          <t>key</t>
        </is>
      </c>
      <c r="D43" s="5" t="inlineStr">
        <is>
          <t>set</t>
        </is>
      </c>
      <c r="E43" s="5" t="inlineStr">
        <is>
          <t>n</t>
        </is>
      </c>
      <c r="F43" s="5" t="inlineStr">
        <is>
          <t>R² (live)</t>
        </is>
      </c>
      <c r="G43" s="5" t="inlineStr">
        <is>
          <t>slope (live)</t>
        </is>
      </c>
      <c r="H43" s="5" t="inlineStr">
        <is>
          <t>R²</t>
        </is>
      </c>
      <c r="I43" s="5" t="inlineStr">
        <is>
          <t>Q²</t>
        </is>
      </c>
      <c r="J43" s="5" t="inlineStr">
        <is>
          <t>slope</t>
        </is>
      </c>
      <c r="K43" s="5" t="inlineStr">
        <is>
          <t>intercept</t>
        </is>
      </c>
      <c r="L43" s="5" t="inlineStr">
        <is>
          <t>p</t>
        </is>
      </c>
      <c r="M43" s="5" t="inlineStr">
        <is>
          <t>RMSE</t>
        </is>
      </c>
      <c r="N43" s="5" t="inlineStr">
        <is>
          <t>LOO RMSE</t>
        </is>
      </c>
      <c r="O43" s="5" t="inlineStr">
        <is>
          <t>ext RMSE</t>
        </is>
      </c>
      <c r="P43" s="5" t="inlineStr">
        <is>
          <t>slope×RT</t>
        </is>
      </c>
      <c r="Q43" s="5" t="inlineStr">
        <is>
          <t>R² chlorobenzenes (n=5)</t>
        </is>
      </c>
      <c r="R43" s="5" t="inlineStr">
        <is>
          <t>R² halobenzenes (n=12)</t>
        </is>
      </c>
      <c r="S43" s="5" t="inlineStr">
        <is>
          <t>R² all (n=14)</t>
        </is>
      </c>
      <c r="T43" s="5" t="inlineStr">
        <is>
          <t>chart tab</t>
        </is>
      </c>
    </row>
    <row r="44" ht="40.5" customHeight="1">
      <c r="A44" s="3" t="inlineStr">
        <is>
          <t>M6gas</t>
        </is>
      </c>
      <c r="B44" s="3" t="inlineStr">
        <is>
          <t>ΔG ArX•⁻ + e⁻ → Ar⁻ + X⁻</t>
        </is>
      </c>
      <c r="C44" s="3" t="inlineStr">
        <is>
          <t>min_dG_RA_2e_any_kcal</t>
        </is>
      </c>
      <c r="D44" s="3" t="inlineStr">
        <is>
          <t>thermo</t>
        </is>
      </c>
      <c r="E44" s="3" t="n">
        <v>7</v>
      </c>
      <c r="F44" s="6">
        <f>'M6gas 02 dG RA_2e_any'!Q7</f>
        <v/>
      </c>
      <c r="G44" s="6">
        <f>'M6gas 02 dG RA_2e_any'!Q5</f>
        <v/>
      </c>
      <c r="H44" s="6" t="n">
        <v>0.9306</v>
      </c>
      <c r="I44" s="6" t="n">
        <v>0.8854</v>
      </c>
      <c r="J44" s="6" t="n">
        <v>-0.3432</v>
      </c>
      <c r="K44" s="6" t="n">
        <v>-13.9074</v>
      </c>
      <c r="L44" s="7" t="n">
        <v>0.0004</v>
      </c>
      <c r="M44" s="6" t="n">
        <v>0.7541</v>
      </c>
      <c r="N44" s="6" t="n">
        <v>0.9687</v>
      </c>
      <c r="O44" s="6" t="n">
        <v>4.085</v>
      </c>
      <c r="P44" s="3" t="n"/>
      <c r="Q44" s="6" t="n">
        <v>0.5895</v>
      </c>
      <c r="R44" s="6" t="n">
        <v>0.5516</v>
      </c>
      <c r="S44" s="6" t="n">
        <v>0.4478</v>
      </c>
      <c r="T44" s="8" t="inlineStr">
        <is>
          <t>M6gas 02 dG RA_2e_any</t>
        </is>
      </c>
    </row>
    <row r="45" ht="40.5" customHeight="1">
      <c r="A45" s="3" t="inlineStr">
        <is>
          <t>B3gas</t>
        </is>
      </c>
      <c r="B45" s="3" t="inlineStr">
        <is>
          <t>ΔG ArX•⁻ + e⁻ → Ar⁻ + X⁻</t>
        </is>
      </c>
      <c r="C45" s="3" t="inlineStr">
        <is>
          <t>min_dG_RA_2e_any_kcal</t>
        </is>
      </c>
      <c r="D45" s="3" t="inlineStr">
        <is>
          <t>thermo</t>
        </is>
      </c>
      <c r="E45" s="3" t="n">
        <v>7</v>
      </c>
      <c r="F45" s="6">
        <f>'B3gas 02 dG RA_2e_any'!Q7</f>
        <v/>
      </c>
      <c r="G45" s="6">
        <f>'B3gas 02 dG RA_2e_any'!Q5</f>
        <v/>
      </c>
      <c r="H45" s="6" t="n">
        <v>0.9225</v>
      </c>
      <c r="I45" s="6" t="n">
        <v>0.8686</v>
      </c>
      <c r="J45" s="6" t="n">
        <v>-0.3184</v>
      </c>
      <c r="K45" s="6" t="n">
        <v>-13.3101</v>
      </c>
      <c r="L45" s="7" t="n">
        <v>0.0005999999999999999</v>
      </c>
      <c r="M45" s="6" t="n">
        <v>0.7966</v>
      </c>
      <c r="N45" s="6" t="n">
        <v>1.0374</v>
      </c>
      <c r="O45" s="6" t="n">
        <v>4.418</v>
      </c>
      <c r="P45" s="3" t="n"/>
      <c r="Q45" s="6" t="n">
        <v>0.2571</v>
      </c>
      <c r="R45" s="6" t="n">
        <v>0.4603</v>
      </c>
      <c r="S45" s="6" t="n">
        <v>0.3482</v>
      </c>
      <c r="T45" s="8" t="inlineStr">
        <is>
          <t>B3gas 02 dG RA_2e_any</t>
        </is>
      </c>
    </row>
    <row r="46" ht="40.5" customHeight="1">
      <c r="A46" s="3" t="inlineStr">
        <is>
          <t>B3gas</t>
        </is>
      </c>
      <c r="B46" s="3" t="inlineStr">
        <is>
          <t>ΔG Ar• + e⁻ → Ar⁻</t>
        </is>
      </c>
      <c r="C46" s="3" t="inlineStr">
        <is>
          <t>min_dG_rad_red_kcal</t>
        </is>
      </c>
      <c r="D46" s="3" t="inlineStr">
        <is>
          <t>extended</t>
        </is>
      </c>
      <c r="E46" s="3" t="n">
        <v>7</v>
      </c>
      <c r="F46" s="6">
        <f>'B3gas 01 dG rad_red'!Q7</f>
        <v/>
      </c>
      <c r="G46" s="6">
        <f>'B3gas 01 dG rad_red'!Q5</f>
        <v/>
      </c>
      <c r="H46" s="6" t="n">
        <v>0.9473</v>
      </c>
      <c r="I46" s="6" t="n">
        <v>0.8653</v>
      </c>
      <c r="J46" s="6" t="n">
        <v>-0.1838</v>
      </c>
      <c r="K46" s="6" t="n">
        <v>-10.1598</v>
      </c>
      <c r="L46" s="7" t="n">
        <v>0.0002</v>
      </c>
      <c r="M46" s="6" t="n">
        <v>0.6572</v>
      </c>
      <c r="N46" s="6" t="n">
        <v>1.0504</v>
      </c>
      <c r="O46" s="6" t="n">
        <v>2.671</v>
      </c>
      <c r="P46" s="3" t="n"/>
      <c r="Q46" s="6" t="n">
        <v>0.8048999999999999</v>
      </c>
      <c r="R46" s="6" t="n">
        <v>0.7843</v>
      </c>
      <c r="S46" s="6" t="n">
        <v>0.7134</v>
      </c>
      <c r="T46" s="8" t="inlineStr">
        <is>
          <t>B3gas 01 dG rad_red</t>
        </is>
      </c>
    </row>
    <row r="47" ht="40.5" customHeight="1">
      <c r="A47" s="3" t="inlineStr">
        <is>
          <t>M6gas</t>
        </is>
      </c>
      <c r="B47" s="3" t="inlineStr">
        <is>
          <t>ΔG Ar• + e⁻ → Ar⁻</t>
        </is>
      </c>
      <c r="C47" s="3" t="inlineStr">
        <is>
          <t>min_dG_rad_red_kcal</t>
        </is>
      </c>
      <c r="D47" s="3" t="inlineStr">
        <is>
          <t>extended</t>
        </is>
      </c>
      <c r="E47" s="3" t="n">
        <v>7</v>
      </c>
      <c r="F47" s="6">
        <f>'M6gas 01 dG rad_red'!Q7</f>
        <v/>
      </c>
      <c r="G47" s="6">
        <f>'M6gas 01 dG rad_red'!Q5</f>
        <v/>
      </c>
      <c r="H47" s="6" t="n">
        <v>0.9375</v>
      </c>
      <c r="I47" s="6" t="n">
        <v>0.8531</v>
      </c>
      <c r="J47" s="6" t="n">
        <v>-0.1867</v>
      </c>
      <c r="K47" s="6" t="n">
        <v>-10.1339</v>
      </c>
      <c r="L47" s="7" t="n">
        <v>0.0003</v>
      </c>
      <c r="M47" s="6" t="n">
        <v>0.7155</v>
      </c>
      <c r="N47" s="6" t="n">
        <v>1.097</v>
      </c>
      <c r="O47" s="6" t="n">
        <v>2.831</v>
      </c>
      <c r="P47" s="3" t="n"/>
      <c r="Q47" s="6" t="n">
        <v>0.8079</v>
      </c>
      <c r="R47" s="6" t="n">
        <v>0.772</v>
      </c>
      <c r="S47" s="6" t="n">
        <v>0.6864</v>
      </c>
      <c r="T47" s="8" t="inlineStr">
        <is>
          <t>M6gas 01 dG rad_red</t>
        </is>
      </c>
    </row>
    <row r="48" ht="40.5" customHeight="1">
      <c r="A48" s="3" t="inlineStr">
        <is>
          <t>M6gas</t>
        </is>
      </c>
      <c r="B48" s="3" t="inlineStr">
        <is>
          <t>ΔG ArX + 2e⁻ → Ar⁻ + X⁻</t>
        </is>
      </c>
      <c r="C48" s="3" t="inlineStr">
        <is>
          <t>min_dG_2e_carbanion_kcal</t>
        </is>
      </c>
      <c r="D48" s="3" t="inlineStr">
        <is>
          <t>thermo</t>
        </is>
      </c>
      <c r="E48" s="3" t="n">
        <v>7</v>
      </c>
      <c r="F48" s="6">
        <f>'M6gas 04 dG 2e_carbanion'!Q7</f>
        <v/>
      </c>
      <c r="G48" s="6">
        <f>'M6gas 04 dG 2e_carbanion'!Q5</f>
        <v/>
      </c>
      <c r="H48" s="6" t="n">
        <v>0.9152</v>
      </c>
      <c r="I48" s="6" t="n">
        <v>0.7496</v>
      </c>
      <c r="J48" s="6" t="n">
        <v>-0.1578</v>
      </c>
      <c r="K48" s="6" t="n">
        <v>-10.5053</v>
      </c>
      <c r="L48" s="7" t="n">
        <v>0.0007</v>
      </c>
      <c r="M48" s="6" t="n">
        <v>0.8333</v>
      </c>
      <c r="N48" s="6" t="n">
        <v>1.4322</v>
      </c>
      <c r="O48" s="6" t="n">
        <v>1.887</v>
      </c>
      <c r="P48" s="3" t="n"/>
      <c r="Q48" s="6" t="n">
        <v>0.8162</v>
      </c>
      <c r="R48" s="6" t="n">
        <v>0.8748</v>
      </c>
      <c r="S48" s="6" t="n">
        <v>0.7587</v>
      </c>
      <c r="T48" s="8" t="inlineStr">
        <is>
          <t>M6gas 04 dG 2e_carbanion</t>
        </is>
      </c>
    </row>
    <row r="49" ht="40.5" customHeight="1">
      <c r="A49" s="3" t="inlineStr">
        <is>
          <t>B3gas</t>
        </is>
      </c>
      <c r="B49" s="3" t="inlineStr">
        <is>
          <t>ΔG ArX•⁻ → Ar• + X⁻</t>
        </is>
      </c>
      <c r="C49" s="3" t="inlineStr">
        <is>
          <t>min_dG_frag_any_kcal</t>
        </is>
      </c>
      <c r="D49" s="3" t="inlineStr">
        <is>
          <t>thermo</t>
        </is>
      </c>
      <c r="E49" s="3" t="n">
        <v>7</v>
      </c>
      <c r="F49" s="6">
        <f>'B3gas 03 dG frag_any'!Q7</f>
        <v/>
      </c>
      <c r="G49" s="6">
        <f>'B3gas 03 dG frag_any'!Q5</f>
        <v/>
      </c>
      <c r="H49" s="6" t="n">
        <v>0.9217</v>
      </c>
      <c r="I49" s="6" t="n">
        <v>0.7459</v>
      </c>
      <c r="J49" s="6" t="n">
        <v>0.4087</v>
      </c>
      <c r="K49" s="6" t="n">
        <v>-5.6014</v>
      </c>
      <c r="L49" s="7" t="n">
        <v>0.0005999999999999999</v>
      </c>
      <c r="M49" s="6" t="n">
        <v>0.8008999999999999</v>
      </c>
      <c r="N49" s="6" t="n">
        <v>1.4426</v>
      </c>
      <c r="O49" s="6" t="n">
        <v>2.058</v>
      </c>
      <c r="P49" s="3" t="n"/>
      <c r="Q49" s="6" t="n">
        <v>0.9396</v>
      </c>
      <c r="R49" s="6" t="n">
        <v>0.8568</v>
      </c>
      <c r="S49" s="6" t="n">
        <v>0.8044</v>
      </c>
      <c r="T49" s="8" t="inlineStr">
        <is>
          <t>B3gas 03 dG frag_any</t>
        </is>
      </c>
    </row>
    <row r="50" ht="40.5" customHeight="1">
      <c r="A50" s="3" t="inlineStr">
        <is>
          <t>B3SMD</t>
        </is>
      </c>
      <c r="B50" s="3" t="inlineStr">
        <is>
          <t>ΔG ArX•⁻ + e⁻ → Ar⁻ + X⁻</t>
        </is>
      </c>
      <c r="C50" s="3" t="inlineStr">
        <is>
          <t>min_dG_RA_2e_any_kcal</t>
        </is>
      </c>
      <c r="D50" s="3" t="inlineStr">
        <is>
          <t>thermo</t>
        </is>
      </c>
      <c r="E50" s="3" t="n">
        <v>7</v>
      </c>
      <c r="F50" s="6">
        <f>'B3SMD 02 dG RA_2e_any'!Q7</f>
        <v/>
      </c>
      <c r="G50" s="6">
        <f>'B3SMD 02 dG RA_2e_any'!Q5</f>
        <v/>
      </c>
      <c r="H50" s="6" t="n">
        <v>0.8928</v>
      </c>
      <c r="I50" s="6" t="n">
        <v>0.7358</v>
      </c>
      <c r="J50" s="6" t="n">
        <v>-0.4218</v>
      </c>
      <c r="K50" s="6" t="n">
        <v>-41.9329</v>
      </c>
      <c r="L50" s="6" t="n">
        <v>0.0013</v>
      </c>
      <c r="M50" s="6" t="n">
        <v>0.9370000000000001</v>
      </c>
      <c r="N50" s="6" t="n">
        <v>1.4711</v>
      </c>
      <c r="O50" s="6" t="n">
        <v>7.158</v>
      </c>
      <c r="P50" s="3" t="n"/>
      <c r="Q50" s="6" t="n">
        <v>0.0025</v>
      </c>
      <c r="R50" s="6" t="n">
        <v>0.07679999999999999</v>
      </c>
      <c r="S50" s="6" t="n">
        <v>0.074</v>
      </c>
      <c r="T50" s="8" t="inlineStr">
        <is>
          <t>B3SMD 02 dG RA_2e_any</t>
        </is>
      </c>
    </row>
    <row r="51" ht="40.5" customHeight="1">
      <c r="A51" s="3" t="inlineStr">
        <is>
          <t>B3gas</t>
        </is>
      </c>
      <c r="B51" s="3" t="inlineStr">
        <is>
          <t>ΔG ArX + 2e⁻ → Ar⁻ + X⁻</t>
        </is>
      </c>
      <c r="C51" s="3" t="inlineStr">
        <is>
          <t>min_dG_2e_carbanion_kcal</t>
        </is>
      </c>
      <c r="D51" s="3" t="inlineStr">
        <is>
          <t>thermo</t>
        </is>
      </c>
      <c r="E51" s="3" t="n">
        <v>7</v>
      </c>
      <c r="F51" s="6">
        <f>'B3gas 05 dG 2e_carbanion'!Q7</f>
        <v/>
      </c>
      <c r="G51" s="6">
        <f>'B3gas 05 dG 2e_carbanion'!Q5</f>
        <v/>
      </c>
      <c r="H51" s="6" t="n">
        <v>0.9131</v>
      </c>
      <c r="I51" s="6" t="n">
        <v>0.722</v>
      </c>
      <c r="J51" s="6" t="n">
        <v>-0.1479</v>
      </c>
      <c r="K51" s="6" t="n">
        <v>-10.9476</v>
      </c>
      <c r="L51" s="7" t="n">
        <v>0.0008</v>
      </c>
      <c r="M51" s="6" t="n">
        <v>0.8438</v>
      </c>
      <c r="N51" s="6" t="n">
        <v>1.509</v>
      </c>
      <c r="O51" s="6" t="n">
        <v>1.77</v>
      </c>
      <c r="P51" s="3" t="n"/>
      <c r="Q51" s="6" t="n">
        <v>0.8112</v>
      </c>
      <c r="R51" s="6" t="n">
        <v>0.8657</v>
      </c>
      <c r="S51" s="6" t="n">
        <v>0.7832</v>
      </c>
      <c r="T51" s="8" t="inlineStr">
        <is>
          <t>B3gas 05 dG 2e_carbanion</t>
        </is>
      </c>
    </row>
    <row r="52" ht="40.5" customHeight="1">
      <c r="A52" s="3" t="inlineStr">
        <is>
          <t>M6gas</t>
        </is>
      </c>
      <c r="B52" s="3" t="inlineStr">
        <is>
          <t>ΔG ArX•⁻ → Ar• + X⁻</t>
        </is>
      </c>
      <c r="C52" s="3" t="inlineStr">
        <is>
          <t>min_dG_frag_any_kcal</t>
        </is>
      </c>
      <c r="D52" s="3" t="inlineStr">
        <is>
          <t>thermo</t>
        </is>
      </c>
      <c r="E52" s="3" t="n">
        <v>7</v>
      </c>
      <c r="F52" s="6">
        <f>'M6gas 03 dG frag_any'!Q7</f>
        <v/>
      </c>
      <c r="G52" s="6">
        <f>'M6gas 03 dG frag_any'!Q5</f>
        <v/>
      </c>
      <c r="H52" s="6" t="n">
        <v>0.9175</v>
      </c>
      <c r="I52" s="6" t="n">
        <v>0.7183</v>
      </c>
      <c r="J52" s="6" t="n">
        <v>0.3972</v>
      </c>
      <c r="K52" s="6" t="n">
        <v>-5.5115</v>
      </c>
      <c r="L52" s="7" t="n">
        <v>0.0007</v>
      </c>
      <c r="M52" s="6" t="n">
        <v>0.822</v>
      </c>
      <c r="N52" s="6" t="n">
        <v>1.5191</v>
      </c>
      <c r="O52" s="6" t="n">
        <v>1.927</v>
      </c>
      <c r="P52" s="3" t="n"/>
      <c r="Q52" s="6" t="n">
        <v>0.8488</v>
      </c>
      <c r="R52" s="6" t="n">
        <v>0.8357</v>
      </c>
      <c r="S52" s="6" t="n">
        <v>0.8048</v>
      </c>
      <c r="T52" s="8" t="inlineStr">
        <is>
          <t>M6gas 03 dG frag_any</t>
        </is>
      </c>
    </row>
    <row r="53" ht="27" customHeight="1">
      <c r="A53" s="3" t="inlineStr">
        <is>
          <t>B3gas</t>
        </is>
      </c>
      <c r="B53" s="3" t="inlineStr">
        <is>
          <t>LUMO of the radical anion ArX•⁻</t>
        </is>
      </c>
      <c r="C53" s="3" t="inlineStr">
        <is>
          <t>LUMO_RA_eV</t>
        </is>
      </c>
      <c r="D53" s="3" t="inlineStr">
        <is>
          <t>thermo</t>
        </is>
      </c>
      <c r="E53" s="3" t="n">
        <v>7</v>
      </c>
      <c r="F53" s="6">
        <f>'B3gas 04 LUMO_RA'!Q7</f>
        <v/>
      </c>
      <c r="G53" s="6">
        <f>'B3gas 04 LUMO_RA'!Q5</f>
        <v/>
      </c>
      <c r="H53" s="6" t="n">
        <v>0.9211</v>
      </c>
      <c r="I53" s="6" t="n">
        <v>0.717</v>
      </c>
      <c r="J53" s="6" t="n">
        <v>-4.6549</v>
      </c>
      <c r="K53" s="6" t="n">
        <v>4.5044</v>
      </c>
      <c r="L53" s="7" t="n">
        <v>0.0005999999999999999</v>
      </c>
      <c r="M53" s="6" t="n">
        <v>0.8038999999999999</v>
      </c>
      <c r="N53" s="6" t="n">
        <v>1.5226</v>
      </c>
      <c r="O53" s="6" t="n">
        <v>1.584</v>
      </c>
      <c r="P53" s="3" t="n"/>
      <c r="Q53" s="6" t="n">
        <v>0.8544</v>
      </c>
      <c r="R53" s="6" t="n">
        <v>0.8779</v>
      </c>
      <c r="S53" s="6" t="n">
        <v>0.8131</v>
      </c>
      <c r="T53" s="8" t="inlineStr">
        <is>
          <t>B3gas 04 LUMO_RA</t>
        </is>
      </c>
    </row>
    <row r="54" ht="40.5" customHeight="1">
      <c r="A54" s="3" t="inlineStr">
        <is>
          <t>M6SMD</t>
        </is>
      </c>
      <c r="B54" s="3" t="inlineStr">
        <is>
          <t>ΔG Ar• + e⁻ → Ar⁻</t>
        </is>
      </c>
      <c r="C54" s="3" t="inlineStr">
        <is>
          <t>min_dG_rad_red_kcal</t>
        </is>
      </c>
      <c r="D54" s="3" t="inlineStr">
        <is>
          <t>extended</t>
        </is>
      </c>
      <c r="E54" s="3" t="n">
        <v>7</v>
      </c>
      <c r="F54" s="6">
        <f>'M6SMD 01 dG rad_red'!Q7</f>
        <v/>
      </c>
      <c r="G54" s="6">
        <f>'M6SMD 01 dG rad_red'!Q5</f>
        <v/>
      </c>
      <c r="H54" s="6" t="n">
        <v>0.8924</v>
      </c>
      <c r="I54" s="6" t="n">
        <v>0.7114</v>
      </c>
      <c r="J54" s="6" t="n">
        <v>-0.3373</v>
      </c>
      <c r="K54" s="6" t="n">
        <v>-33.757</v>
      </c>
      <c r="L54" s="6" t="n">
        <v>0.0013</v>
      </c>
      <c r="M54" s="6" t="n">
        <v>0.9389</v>
      </c>
      <c r="N54" s="6" t="n">
        <v>1.5376</v>
      </c>
      <c r="O54" s="6" t="n">
        <v>3.432</v>
      </c>
      <c r="P54" s="3" t="n"/>
      <c r="Q54" s="6" t="n">
        <v>0.8169999999999999</v>
      </c>
      <c r="R54" s="6" t="n">
        <v>0.6424</v>
      </c>
      <c r="S54" s="6" t="n">
        <v>0.6197</v>
      </c>
      <c r="T54" s="8" t="inlineStr">
        <is>
          <t>M6SMD 01 dG rad_red</t>
        </is>
      </c>
    </row>
    <row r="55" ht="40.5" customHeight="1">
      <c r="A55" s="3" t="inlineStr">
        <is>
          <t>B3SMD</t>
        </is>
      </c>
      <c r="B55" s="3" t="inlineStr">
        <is>
          <t>ΔG Ar• + e⁻ → Ar⁻</t>
        </is>
      </c>
      <c r="C55" s="3" t="inlineStr">
        <is>
          <t>min_dG_rad_red_kcal</t>
        </is>
      </c>
      <c r="D55" s="3" t="inlineStr">
        <is>
          <t>extended</t>
        </is>
      </c>
      <c r="E55" s="3" t="n">
        <v>7</v>
      </c>
      <c r="F55" s="6">
        <f>'B3SMD 01 dG rad_red'!Q7</f>
        <v/>
      </c>
      <c r="G55" s="6">
        <f>'B3SMD 01 dG rad_red'!Q5</f>
        <v/>
      </c>
      <c r="H55" s="6" t="n">
        <v>0.8933</v>
      </c>
      <c r="I55" s="6" t="n">
        <v>0.6844</v>
      </c>
      <c r="J55" s="6" t="n">
        <v>-0.3278</v>
      </c>
      <c r="K55" s="6" t="n">
        <v>-32.5355</v>
      </c>
      <c r="L55" s="6" t="n">
        <v>0.0013</v>
      </c>
      <c r="M55" s="6" t="n">
        <v>0.9347</v>
      </c>
      <c r="N55" s="6" t="n">
        <v>1.6079</v>
      </c>
      <c r="O55" s="6" t="n">
        <v>3.301</v>
      </c>
      <c r="P55" s="3" t="n"/>
      <c r="Q55" s="6" t="n">
        <v>0.8126</v>
      </c>
      <c r="R55" s="6" t="n">
        <v>0.653</v>
      </c>
      <c r="S55" s="6" t="n">
        <v>0.631</v>
      </c>
      <c r="T55" s="8" t="inlineStr">
        <is>
          <t>B3SMD 01 dG rad_red</t>
        </is>
      </c>
    </row>
    <row r="56" ht="40.5" customHeight="1">
      <c r="A56" s="3" t="inlineStr">
        <is>
          <t>M6SMD</t>
        </is>
      </c>
      <c r="B56" s="3" t="inlineStr">
        <is>
          <t>weakest Wiberg C–X bond order</t>
        </is>
      </c>
      <c r="C56" s="3" t="inlineStr">
        <is>
          <t>min_wiberg_CX_parent</t>
        </is>
      </c>
      <c r="D56" s="3" t="inlineStr">
        <is>
          <t>extended</t>
        </is>
      </c>
      <c r="E56" s="3" t="n">
        <v>7</v>
      </c>
      <c r="F56" s="6">
        <f>'M6SMD 02 wiberg_CX_parent'!Q7</f>
        <v/>
      </c>
      <c r="G56" s="6">
        <f>'M6SMD 02 wiberg_CX_parent'!Q5</f>
        <v/>
      </c>
      <c r="H56" s="6" t="n">
        <v>0.8822</v>
      </c>
      <c r="I56" s="6" t="n">
        <v>0.6738</v>
      </c>
      <c r="J56" s="6" t="n">
        <v>259.9502</v>
      </c>
      <c r="K56" s="6" t="n">
        <v>-273.6079</v>
      </c>
      <c r="L56" s="6" t="n">
        <v>0.0017</v>
      </c>
      <c r="M56" s="6" t="n">
        <v>0.9824000000000001</v>
      </c>
      <c r="N56" s="6" t="n">
        <v>1.6345</v>
      </c>
      <c r="O56" s="6" t="n">
        <v>5.318</v>
      </c>
      <c r="P56" s="3" t="n"/>
      <c r="Q56" s="6" t="n">
        <v>0.9283</v>
      </c>
      <c r="R56" s="6" t="n">
        <v>0.3934</v>
      </c>
      <c r="S56" s="6" t="n">
        <v>0.3359</v>
      </c>
      <c r="T56" s="8" t="inlineStr">
        <is>
          <t>M6SMD 02 wiberg_CX_parent</t>
        </is>
      </c>
    </row>
    <row r="57" ht="40.5" customHeight="1">
      <c r="A57" s="3" t="inlineStr">
        <is>
          <t>B3SMD</t>
        </is>
      </c>
      <c r="B57" s="3" t="inlineStr">
        <is>
          <t>weakest Wiberg C–X bond order</t>
        </is>
      </c>
      <c r="C57" s="3" t="inlineStr">
        <is>
          <t>min_wiberg_CX_parent</t>
        </is>
      </c>
      <c r="D57" s="3" t="inlineStr">
        <is>
          <t>extended</t>
        </is>
      </c>
      <c r="E57" s="3" t="n">
        <v>7</v>
      </c>
      <c r="F57" s="6">
        <f>'B3SMD 03 wiberg_CX_parent'!Q7</f>
        <v/>
      </c>
      <c r="G57" s="6">
        <f>'B3SMD 03 wiberg_CX_parent'!Q5</f>
        <v/>
      </c>
      <c r="H57" s="6" t="n">
        <v>0.8813</v>
      </c>
      <c r="I57" s="6" t="n">
        <v>0.6733</v>
      </c>
      <c r="J57" s="6" t="n">
        <v>240.705</v>
      </c>
      <c r="K57" s="6" t="n">
        <v>-252.1394</v>
      </c>
      <c r="L57" s="6" t="n">
        <v>0.0017</v>
      </c>
      <c r="M57" s="6" t="n">
        <v>0.9862</v>
      </c>
      <c r="N57" s="6" t="n">
        <v>1.6358</v>
      </c>
      <c r="O57" s="6" t="n">
        <v>5.46</v>
      </c>
      <c r="P57" s="3" t="n"/>
      <c r="Q57" s="6" t="n">
        <v>0.9284</v>
      </c>
      <c r="R57" s="6" t="n">
        <v>0.3776</v>
      </c>
      <c r="S57" s="6" t="n">
        <v>0.3249</v>
      </c>
      <c r="T57" s="8" t="inlineStr">
        <is>
          <t>B3SMD 03 wiberg_CX_parent</t>
        </is>
      </c>
    </row>
    <row r="58" ht="40.5" customHeight="1">
      <c r="A58" s="3" t="inlineStr">
        <is>
          <t>M6gas</t>
        </is>
      </c>
      <c r="B58" s="3" t="inlineStr">
        <is>
          <t>weakest Wiberg C–X bond order</t>
        </is>
      </c>
      <c r="C58" s="3" t="inlineStr">
        <is>
          <t>min_wiberg_CX_parent</t>
        </is>
      </c>
      <c r="D58" s="3" t="inlineStr">
        <is>
          <t>extended</t>
        </is>
      </c>
      <c r="E58" s="3" t="n">
        <v>7</v>
      </c>
      <c r="F58" s="6">
        <f>'M6gas 07 wiberg_CX_parent'!Q7</f>
        <v/>
      </c>
      <c r="G58" s="6">
        <f>'M6gas 07 wiberg_CX_parent'!Q5</f>
        <v/>
      </c>
      <c r="H58" s="6" t="n">
        <v>0.8583</v>
      </c>
      <c r="I58" s="6" t="n">
        <v>0.6136</v>
      </c>
      <c r="J58" s="6" t="n">
        <v>327.7144</v>
      </c>
      <c r="K58" s="6" t="n">
        <v>-346.2257</v>
      </c>
      <c r="L58" s="6" t="n">
        <v>0.0027</v>
      </c>
      <c r="M58" s="6" t="n">
        <v>1.0775</v>
      </c>
      <c r="N58" s="6" t="n">
        <v>1.7791</v>
      </c>
      <c r="O58" s="6" t="n">
        <v>7.137</v>
      </c>
      <c r="P58" s="3" t="n"/>
      <c r="Q58" s="6" t="n">
        <v>0.9664</v>
      </c>
      <c r="R58" s="6" t="n">
        <v>0.2466</v>
      </c>
      <c r="S58" s="6" t="n">
        <v>0.2082</v>
      </c>
      <c r="T58" s="8" t="inlineStr">
        <is>
          <t>M6gas 07 wiberg_CX_parent</t>
        </is>
      </c>
    </row>
    <row r="59" ht="40.5" customHeight="1">
      <c r="A59" s="3" t="inlineStr">
        <is>
          <t>B3gas</t>
        </is>
      </c>
      <c r="B59" s="3" t="inlineStr">
        <is>
          <t>weakest Wiberg C–X bond order</t>
        </is>
      </c>
      <c r="C59" s="3" t="inlineStr">
        <is>
          <t>min_wiberg_CX_parent</t>
        </is>
      </c>
      <c r="D59" s="3" t="inlineStr">
        <is>
          <t>extended</t>
        </is>
      </c>
      <c r="E59" s="3" t="n">
        <v>7</v>
      </c>
      <c r="F59" s="6">
        <f>'B3gas 08 wiberg_CX_parent'!Q7</f>
        <v/>
      </c>
      <c r="G59" s="6">
        <f>'B3gas 08 wiberg_CX_parent'!Q5</f>
        <v/>
      </c>
      <c r="H59" s="6" t="n">
        <v>0.8463000000000001</v>
      </c>
      <c r="I59" s="6" t="n">
        <v>0.5788</v>
      </c>
      <c r="J59" s="6" t="n">
        <v>306.4347</v>
      </c>
      <c r="K59" s="6" t="n">
        <v>-322.437</v>
      </c>
      <c r="L59" s="6" t="n">
        <v>0.0033</v>
      </c>
      <c r="M59" s="6" t="n">
        <v>1.122</v>
      </c>
      <c r="N59" s="6" t="n">
        <v>1.8575</v>
      </c>
      <c r="O59" s="6" t="n">
        <v>7.403</v>
      </c>
      <c r="P59" s="3" t="n"/>
      <c r="Q59" s="6" t="n">
        <v>0.9667</v>
      </c>
      <c r="R59" s="6" t="n">
        <v>0.2244</v>
      </c>
      <c r="S59" s="6" t="n">
        <v>0.1942</v>
      </c>
      <c r="T59" s="8" t="inlineStr">
        <is>
          <t>B3gas 08 wiberg_CX_parent</t>
        </is>
      </c>
    </row>
    <row r="60" ht="40.5" customHeight="1">
      <c r="A60" s="3" t="inlineStr">
        <is>
          <t>M6SMD</t>
        </is>
      </c>
      <c r="B60" s="3" t="inlineStr">
        <is>
          <t>ΔG ArX + 2e⁻ → Ar⁻ + X⁻</t>
        </is>
      </c>
      <c r="C60" s="3" t="inlineStr">
        <is>
          <t>min_dG_2e_carbanion_kcal</t>
        </is>
      </c>
      <c r="D60" s="3" t="inlineStr">
        <is>
          <t>thermo</t>
        </is>
      </c>
      <c r="E60" s="3" t="n">
        <v>7</v>
      </c>
      <c r="F60" s="6">
        <f>'M6SMD 04 dG 2e_carbanion'!Q7</f>
        <v/>
      </c>
      <c r="G60" s="6">
        <f>'M6SMD 04 dG 2e_carbanion'!Q5</f>
        <v/>
      </c>
      <c r="H60" s="6" t="n">
        <v>0.8592</v>
      </c>
      <c r="I60" s="6" t="n">
        <v>0.5379</v>
      </c>
      <c r="J60" s="6" t="n">
        <v>-0.2521</v>
      </c>
      <c r="K60" s="6" t="n">
        <v>-41.0824</v>
      </c>
      <c r="L60" s="6" t="n">
        <v>0.0027</v>
      </c>
      <c r="M60" s="6" t="n">
        <v>1.074</v>
      </c>
      <c r="N60" s="6" t="n">
        <v>1.9456</v>
      </c>
      <c r="O60" s="6" t="n">
        <v>3.122</v>
      </c>
      <c r="P60" s="3" t="n"/>
      <c r="Q60" s="6" t="n">
        <v>0.8223</v>
      </c>
      <c r="R60" s="6" t="n">
        <v>0.6139</v>
      </c>
      <c r="S60" s="6" t="n">
        <v>0.6116</v>
      </c>
      <c r="T60" s="8" t="inlineStr">
        <is>
          <t>M6SMD 04 dG 2e_carbanion</t>
        </is>
      </c>
    </row>
    <row r="61" ht="40.5" customHeight="1">
      <c r="A61" s="3" t="inlineStr">
        <is>
          <t>B3SMD</t>
        </is>
      </c>
      <c r="B61" s="3" t="inlineStr">
        <is>
          <t>ΔG ArX•⁻ → Ar• + X⁻</t>
        </is>
      </c>
      <c r="C61" s="3" t="inlineStr">
        <is>
          <t>min_dG_frag_any_kcal</t>
        </is>
      </c>
      <c r="D61" s="3" t="inlineStr">
        <is>
          <t>thermo</t>
        </is>
      </c>
      <c r="E61" s="3" t="n">
        <v>7</v>
      </c>
      <c r="F61" s="6">
        <f>'B3SMD 07 dG frag_any'!Q7</f>
        <v/>
      </c>
      <c r="G61" s="6">
        <f>'B3SMD 07 dG frag_any'!Q5</f>
        <v/>
      </c>
      <c r="H61" s="6" t="n">
        <v>0.8027</v>
      </c>
      <c r="I61" s="6" t="n">
        <v>0.526</v>
      </c>
      <c r="J61" s="6" t="n">
        <v>1.3174</v>
      </c>
      <c r="K61" s="6" t="n">
        <v>0.0119</v>
      </c>
      <c r="L61" s="6" t="n">
        <v>0.0063</v>
      </c>
      <c r="M61" s="6" t="n">
        <v>1.2714</v>
      </c>
      <c r="N61" s="6" t="n">
        <v>1.9705</v>
      </c>
      <c r="O61" s="6" t="n">
        <v>13.058</v>
      </c>
      <c r="P61" s="3" t="n"/>
      <c r="Q61" s="6" t="n">
        <v>0.698</v>
      </c>
      <c r="R61" s="6" t="n">
        <v>0.4269</v>
      </c>
      <c r="S61" s="6" t="n">
        <v>0.4234</v>
      </c>
      <c r="T61" s="8" t="inlineStr">
        <is>
          <t>B3SMD 07 dG frag_any</t>
        </is>
      </c>
    </row>
    <row r="62" ht="27" customHeight="1">
      <c r="A62" s="3" t="inlineStr">
        <is>
          <t>M6gas</t>
        </is>
      </c>
      <c r="B62" s="3" t="inlineStr">
        <is>
          <t>vertical electron affinity</t>
        </is>
      </c>
      <c r="C62" s="3" t="inlineStr">
        <is>
          <t>VEA_eV</t>
        </is>
      </c>
      <c r="D62" s="3" t="inlineStr">
        <is>
          <t>extended</t>
        </is>
      </c>
      <c r="E62" s="3" t="n">
        <v>7</v>
      </c>
      <c r="F62" s="6">
        <f>'M6gas 08 VEA'!Q7</f>
        <v/>
      </c>
      <c r="G62" s="6">
        <f>'M6gas 08 VEA'!Q5</f>
        <v/>
      </c>
      <c r="H62" s="6" t="n">
        <v>0.8028999999999999</v>
      </c>
      <c r="I62" s="6" t="n">
        <v>0.4874</v>
      </c>
      <c r="J62" s="6" t="n">
        <v>4.3418</v>
      </c>
      <c r="K62" s="6" t="n">
        <v>-0.4137</v>
      </c>
      <c r="L62" s="6" t="n">
        <v>0.0063</v>
      </c>
      <c r="M62" s="6" t="n">
        <v>1.2706</v>
      </c>
      <c r="N62" s="6" t="n">
        <v>2.0491</v>
      </c>
      <c r="O62" s="6" t="n">
        <v>1.806</v>
      </c>
      <c r="P62" s="3" t="n"/>
      <c r="Q62" s="6" t="n">
        <v>0.7036</v>
      </c>
      <c r="R62" s="6" t="n">
        <v>0.7374000000000001</v>
      </c>
      <c r="S62" s="6" t="n">
        <v>0.6962</v>
      </c>
      <c r="T62" s="8" t="inlineStr">
        <is>
          <t>M6gas 08 VEA</t>
        </is>
      </c>
    </row>
    <row r="63" ht="27" customHeight="1">
      <c r="A63" s="3" t="inlineStr">
        <is>
          <t>B3gas</t>
        </is>
      </c>
      <c r="B63" s="3" t="inlineStr">
        <is>
          <t>number of halogens</t>
        </is>
      </c>
      <c r="C63" s="3" t="inlineStr">
        <is>
          <t>n_X</t>
        </is>
      </c>
      <c r="D63" s="3" t="inlineStr">
        <is>
          <t>extended</t>
        </is>
      </c>
      <c r="E63" s="3" t="n">
        <v>7</v>
      </c>
      <c r="F63" s="6">
        <f>'B3gas 06 n_X'!Q7</f>
        <v/>
      </c>
      <c r="G63" s="6">
        <f>'B3gas 06 n_X'!Q5</f>
        <v/>
      </c>
      <c r="H63" s="6" t="n">
        <v>0.8601</v>
      </c>
      <c r="I63" s="6" t="n">
        <v>0.4698</v>
      </c>
      <c r="J63" s="6" t="n">
        <v>1.7556</v>
      </c>
      <c r="K63" s="6" t="n">
        <v>-6.915</v>
      </c>
      <c r="L63" s="6" t="n">
        <v>0.0026</v>
      </c>
      <c r="M63" s="6" t="n">
        <v>1.0705</v>
      </c>
      <c r="N63" s="6" t="n">
        <v>2.084</v>
      </c>
      <c r="O63" s="6" t="n">
        <v>2.545</v>
      </c>
      <c r="P63" s="3" t="n"/>
      <c r="Q63" s="6" t="n">
        <v>0.7558</v>
      </c>
      <c r="R63" s="6" t="n">
        <v>0.7082000000000001</v>
      </c>
      <c r="S63" s="6" t="n">
        <v>0.6758</v>
      </c>
      <c r="T63" s="8" t="inlineStr">
        <is>
          <t>B3gas 06 n_X</t>
        </is>
      </c>
    </row>
    <row r="64" ht="27" customHeight="1">
      <c r="A64" s="3" t="inlineStr">
        <is>
          <t>B3SMD</t>
        </is>
      </c>
      <c r="B64" s="3" t="inlineStr">
        <is>
          <t>number of halogens</t>
        </is>
      </c>
      <c r="C64" s="3" t="inlineStr">
        <is>
          <t>n_X</t>
        </is>
      </c>
      <c r="D64" s="3" t="inlineStr">
        <is>
          <t>extended</t>
        </is>
      </c>
      <c r="E64" s="3" t="n">
        <v>7</v>
      </c>
      <c r="F64" s="6">
        <f>'B3SMD 04 n_X'!Q7</f>
        <v/>
      </c>
      <c r="G64" s="6">
        <f>'B3SMD 04 n_X'!Q5</f>
        <v/>
      </c>
      <c r="H64" s="6" t="n">
        <v>0.8601</v>
      </c>
      <c r="I64" s="6" t="n">
        <v>0.4698</v>
      </c>
      <c r="J64" s="6" t="n">
        <v>1.7556</v>
      </c>
      <c r="K64" s="6" t="n">
        <v>-6.915</v>
      </c>
      <c r="L64" s="6" t="n">
        <v>0.0026</v>
      </c>
      <c r="M64" s="6" t="n">
        <v>1.0705</v>
      </c>
      <c r="N64" s="6" t="n">
        <v>2.084</v>
      </c>
      <c r="O64" s="6" t="n">
        <v>2.545</v>
      </c>
      <c r="P64" s="3" t="n"/>
      <c r="Q64" s="6" t="n">
        <v>0.7558</v>
      </c>
      <c r="R64" s="6" t="n">
        <v>0.7082000000000001</v>
      </c>
      <c r="S64" s="6" t="n">
        <v>0.6758</v>
      </c>
      <c r="T64" s="8" t="inlineStr">
        <is>
          <t>B3SMD 04 n_X</t>
        </is>
      </c>
    </row>
    <row r="65" ht="27" customHeight="1">
      <c r="A65" s="3" t="inlineStr">
        <is>
          <t>M6gas</t>
        </is>
      </c>
      <c r="B65" s="3" t="inlineStr">
        <is>
          <t>number of halogens</t>
        </is>
      </c>
      <c r="C65" s="3" t="inlineStr">
        <is>
          <t>n_X</t>
        </is>
      </c>
      <c r="D65" s="3" t="inlineStr">
        <is>
          <t>extended</t>
        </is>
      </c>
      <c r="E65" s="3" t="n">
        <v>7</v>
      </c>
      <c r="F65" s="6">
        <f>'M6gas 06 n_X'!Q7</f>
        <v/>
      </c>
      <c r="G65" s="6">
        <f>'M6gas 06 n_X'!Q5</f>
        <v/>
      </c>
      <c r="H65" s="6" t="n">
        <v>0.8601</v>
      </c>
      <c r="I65" s="6" t="n">
        <v>0.4698</v>
      </c>
      <c r="J65" s="6" t="n">
        <v>1.7556</v>
      </c>
      <c r="K65" s="6" t="n">
        <v>-6.915</v>
      </c>
      <c r="L65" s="6" t="n">
        <v>0.0026</v>
      </c>
      <c r="M65" s="6" t="n">
        <v>1.0705</v>
      </c>
      <c r="N65" s="6" t="n">
        <v>2.084</v>
      </c>
      <c r="O65" s="6" t="n">
        <v>2.545</v>
      </c>
      <c r="P65" s="3" t="n"/>
      <c r="Q65" s="6" t="n">
        <v>0.7558</v>
      </c>
      <c r="R65" s="6" t="n">
        <v>0.7082000000000001</v>
      </c>
      <c r="S65" s="6" t="n">
        <v>0.6758</v>
      </c>
      <c r="T65" s="8" t="inlineStr">
        <is>
          <t>M6gas 06 n_X</t>
        </is>
      </c>
    </row>
    <row r="66" ht="27" customHeight="1">
      <c r="A66" s="3" t="inlineStr">
        <is>
          <t>M6SMD</t>
        </is>
      </c>
      <c r="B66" s="3" t="inlineStr">
        <is>
          <t>number of halogens</t>
        </is>
      </c>
      <c r="C66" s="3" t="inlineStr">
        <is>
          <t>n_X</t>
        </is>
      </c>
      <c r="D66" s="3" t="inlineStr">
        <is>
          <t>extended</t>
        </is>
      </c>
      <c r="E66" s="3" t="n">
        <v>7</v>
      </c>
      <c r="F66" s="6">
        <f>'M6SMD 03 n_X'!Q7</f>
        <v/>
      </c>
      <c r="G66" s="6">
        <f>'M6SMD 03 n_X'!Q5</f>
        <v/>
      </c>
      <c r="H66" s="6" t="n">
        <v>0.8601</v>
      </c>
      <c r="I66" s="6" t="n">
        <v>0.4698</v>
      </c>
      <c r="J66" s="6" t="n">
        <v>1.7556</v>
      </c>
      <c r="K66" s="6" t="n">
        <v>-6.915</v>
      </c>
      <c r="L66" s="6" t="n">
        <v>0.0026</v>
      </c>
      <c r="M66" s="6" t="n">
        <v>1.0705</v>
      </c>
      <c r="N66" s="6" t="n">
        <v>2.084</v>
      </c>
      <c r="O66" s="6" t="n">
        <v>2.545</v>
      </c>
      <c r="P66" s="3" t="n"/>
      <c r="Q66" s="6" t="n">
        <v>0.7558</v>
      </c>
      <c r="R66" s="6" t="n">
        <v>0.7082000000000001</v>
      </c>
      <c r="S66" s="6" t="n">
        <v>0.6758</v>
      </c>
      <c r="T66" s="8" t="inlineStr">
        <is>
          <t>M6SMD 03 n_X</t>
        </is>
      </c>
    </row>
    <row r="67" ht="40.5" customHeight="1">
      <c r="A67" s="3" t="inlineStr">
        <is>
          <t>B3SMD</t>
        </is>
      </c>
      <c r="B67" s="3" t="inlineStr">
        <is>
          <t>ΔG ArX + 2e⁻ → Ar⁻ + X⁻</t>
        </is>
      </c>
      <c r="C67" s="3" t="inlineStr">
        <is>
          <t>min_dG_2e_carbanion_kcal</t>
        </is>
      </c>
      <c r="D67" s="3" t="inlineStr">
        <is>
          <t>thermo</t>
        </is>
      </c>
      <c r="E67" s="3" t="n">
        <v>7</v>
      </c>
      <c r="F67" s="6">
        <f>'B3SMD 06 dG 2e_carbanion'!Q7</f>
        <v/>
      </c>
      <c r="G67" s="6">
        <f>'B3SMD 06 dG 2e_carbanion'!Q5</f>
        <v/>
      </c>
      <c r="H67" s="6" t="n">
        <v>0.8416</v>
      </c>
      <c r="I67" s="6" t="n">
        <v>0.4375</v>
      </c>
      <c r="J67" s="6" t="n">
        <v>-0.2259</v>
      </c>
      <c r="K67" s="6" t="n">
        <v>-38.0284</v>
      </c>
      <c r="L67" s="6" t="n">
        <v>0.0036</v>
      </c>
      <c r="M67" s="6" t="n">
        <v>1.1389</v>
      </c>
      <c r="N67" s="6" t="n">
        <v>2.1466</v>
      </c>
      <c r="O67" s="6" t="n">
        <v>3.16</v>
      </c>
      <c r="P67" s="3" t="n"/>
      <c r="Q67" s="6" t="n">
        <v>0.8137</v>
      </c>
      <c r="R67" s="6" t="n">
        <v>0.5854</v>
      </c>
      <c r="S67" s="6" t="n">
        <v>0.5873</v>
      </c>
      <c r="T67" s="8" t="inlineStr">
        <is>
          <t>B3SMD 06 dG 2e_carbanion</t>
        </is>
      </c>
    </row>
    <row r="68" ht="27" customHeight="1">
      <c r="A68" s="3" t="inlineStr">
        <is>
          <t>M6gas</t>
        </is>
      </c>
      <c r="B68" s="3" t="inlineStr">
        <is>
          <t>ΔG ArX + e⁻ → ArX•⁻</t>
        </is>
      </c>
      <c r="C68" s="3" t="inlineStr">
        <is>
          <t>dG_ET_any_kcal</t>
        </is>
      </c>
      <c r="D68" s="3" t="inlineStr">
        <is>
          <t>thermo</t>
        </is>
      </c>
      <c r="E68" s="3" t="n">
        <v>7</v>
      </c>
      <c r="F68" s="6">
        <f>'M6gas 05 dG ET_any'!Q7</f>
        <v/>
      </c>
      <c r="G68" s="6">
        <f>'M6gas 05 dG ET_any'!Q5</f>
        <v/>
      </c>
      <c r="H68" s="6" t="n">
        <v>0.8662</v>
      </c>
      <c r="I68" s="6" t="n">
        <v>0.402</v>
      </c>
      <c r="J68" s="6" t="n">
        <v>-0.2803</v>
      </c>
      <c r="K68" s="6" t="n">
        <v>-7.3735</v>
      </c>
      <c r="L68" s="6" t="n">
        <v>0.0023</v>
      </c>
      <c r="M68" s="6" t="n">
        <v>1.0469</v>
      </c>
      <c r="N68" s="6" t="n">
        <v>2.2133</v>
      </c>
      <c r="O68" s="6" t="n">
        <v>2.164</v>
      </c>
      <c r="P68" s="3" t="n"/>
      <c r="Q68" s="6" t="n">
        <v>0.8538</v>
      </c>
      <c r="R68" s="6" t="n">
        <v>0.7717000000000001</v>
      </c>
      <c r="S68" s="6" t="n">
        <v>0.7276</v>
      </c>
      <c r="T68" s="8" t="inlineStr">
        <is>
          <t>M6gas 05 dG ET_any</t>
        </is>
      </c>
    </row>
    <row r="69" ht="27" customHeight="1">
      <c r="A69" s="3" t="inlineStr">
        <is>
          <t>M6SMD</t>
        </is>
      </c>
      <c r="B69" s="3" t="inlineStr">
        <is>
          <t>ΔG ArX + H⁺ + 2e⁻ → ArH + X⁻</t>
        </is>
      </c>
      <c r="C69" s="3" t="inlineStr">
        <is>
          <t>min_dG_2e_HDH_kcal</t>
        </is>
      </c>
      <c r="D69" s="3" t="inlineStr">
        <is>
          <t>extended</t>
        </is>
      </c>
      <c r="E69" s="3" t="n">
        <v>7</v>
      </c>
      <c r="F69" s="6">
        <f>'M6SMD 07 dG 2e_HDH'!Q7</f>
        <v/>
      </c>
      <c r="G69" s="6">
        <f>'M6SMD 07 dG 2e_HDH'!Q5</f>
        <v/>
      </c>
      <c r="H69" s="6" t="n">
        <v>0.8172</v>
      </c>
      <c r="I69" s="6" t="n">
        <v>0.3868</v>
      </c>
      <c r="J69" s="6" t="n">
        <v>-0.7831</v>
      </c>
      <c r="K69" s="6" t="n">
        <v>-167.9041</v>
      </c>
      <c r="L69" s="6" t="n">
        <v>0.0052</v>
      </c>
      <c r="M69" s="6" t="n">
        <v>1.2238</v>
      </c>
      <c r="N69" s="6" t="n">
        <v>2.2412</v>
      </c>
      <c r="O69" s="6" t="n">
        <v>3.51</v>
      </c>
      <c r="P69" s="3" t="n"/>
      <c r="Q69" s="6" t="n">
        <v>0.8773</v>
      </c>
      <c r="R69" s="6" t="n">
        <v>0.4663</v>
      </c>
      <c r="S69" s="6" t="n">
        <v>0.4484</v>
      </c>
      <c r="T69" s="8" t="inlineStr">
        <is>
          <t>M6SMD 07 dG 2e_HDH</t>
        </is>
      </c>
    </row>
    <row r="70" ht="27" customHeight="1">
      <c r="A70" s="3" t="inlineStr">
        <is>
          <t>B3gas</t>
        </is>
      </c>
      <c r="B70" s="3" t="inlineStr">
        <is>
          <t>vertical electron affinity</t>
        </is>
      </c>
      <c r="C70" s="3" t="inlineStr">
        <is>
          <t>VEA_eV</t>
        </is>
      </c>
      <c r="D70" s="3" t="inlineStr">
        <is>
          <t>extended</t>
        </is>
      </c>
      <c r="E70" s="3" t="n">
        <v>7</v>
      </c>
      <c r="F70" s="6">
        <f>'B3gas 10 VEA'!Q7</f>
        <v/>
      </c>
      <c r="G70" s="6">
        <f>'B3gas 10 VEA'!Q5</f>
        <v/>
      </c>
      <c r="H70" s="6" t="n">
        <v>0.8015</v>
      </c>
      <c r="I70" s="6" t="n">
        <v>0.37</v>
      </c>
      <c r="J70" s="6" t="n">
        <v>4.2239</v>
      </c>
      <c r="K70" s="6" t="n">
        <v>-2.0191</v>
      </c>
      <c r="L70" s="6" t="n">
        <v>0.0064</v>
      </c>
      <c r="M70" s="6" t="n">
        <v>1.2752</v>
      </c>
      <c r="N70" s="6" t="n">
        <v>2.2717</v>
      </c>
      <c r="O70" s="6" t="n">
        <v>1.619</v>
      </c>
      <c r="P70" s="3" t="n"/>
      <c r="Q70" s="6" t="n">
        <v>0.7069</v>
      </c>
      <c r="R70" s="6" t="n">
        <v>0.7332</v>
      </c>
      <c r="S70" s="6" t="n">
        <v>0.7024</v>
      </c>
      <c r="T70" s="8" t="inlineStr">
        <is>
          <t>B3gas 10 VEA</t>
        </is>
      </c>
    </row>
    <row r="71" ht="27" customHeight="1">
      <c r="A71" s="3" t="inlineStr">
        <is>
          <t>B3gas</t>
        </is>
      </c>
      <c r="B71" s="3" t="inlineStr">
        <is>
          <t>ΔG ArX + e⁻ → ArX•⁻</t>
        </is>
      </c>
      <c r="C71" s="3" t="inlineStr">
        <is>
          <t>dG_ET_any_kcal</t>
        </is>
      </c>
      <c r="D71" s="3" t="inlineStr">
        <is>
          <t>thermo</t>
        </is>
      </c>
      <c r="E71" s="3" t="n">
        <v>7</v>
      </c>
      <c r="F71" s="6">
        <f>'B3gas 07 dG ET_any'!Q7</f>
        <v/>
      </c>
      <c r="G71" s="6">
        <f>'B3gas 07 dG ET_any'!Q5</f>
        <v/>
      </c>
      <c r="H71" s="6" t="n">
        <v>0.8571</v>
      </c>
      <c r="I71" s="6" t="n">
        <v>0.311</v>
      </c>
      <c r="J71" s="6" t="n">
        <v>-0.2618</v>
      </c>
      <c r="K71" s="6" t="n">
        <v>-8.516400000000001</v>
      </c>
      <c r="L71" s="6" t="n">
        <v>0.0028</v>
      </c>
      <c r="M71" s="6" t="n">
        <v>1.0818</v>
      </c>
      <c r="N71" s="6" t="n">
        <v>2.3756</v>
      </c>
      <c r="O71" s="6" t="n">
        <v>1.723</v>
      </c>
      <c r="P71" s="3" t="n"/>
      <c r="Q71" s="6" t="n">
        <v>0.9333</v>
      </c>
      <c r="R71" s="6" t="n">
        <v>0.8371</v>
      </c>
      <c r="S71" s="6" t="n">
        <v>0.7992</v>
      </c>
      <c r="T71" s="8" t="inlineStr">
        <is>
          <t>B3gas 07 dG ET_any</t>
        </is>
      </c>
    </row>
    <row r="72" ht="27" customHeight="1">
      <c r="A72" s="3" t="inlineStr">
        <is>
          <t>B3SMD</t>
        </is>
      </c>
      <c r="B72" s="3" t="inlineStr">
        <is>
          <t>ΔG ArX + H⁺ + 2e⁻ → ArH + X⁻</t>
        </is>
      </c>
      <c r="C72" s="3" t="inlineStr">
        <is>
          <t>min_dG_2e_HDH_kcal</t>
        </is>
      </c>
      <c r="D72" s="3" t="inlineStr">
        <is>
          <t>extended</t>
        </is>
      </c>
      <c r="E72" s="3" t="n">
        <v>7</v>
      </c>
      <c r="F72" s="6">
        <f>'B3SMD 09 dG 2e_HDH'!Q7</f>
        <v/>
      </c>
      <c r="G72" s="6">
        <f>'B3SMD 09 dG 2e_HDH'!Q5</f>
        <v/>
      </c>
      <c r="H72" s="6" t="n">
        <v>0.785</v>
      </c>
      <c r="I72" s="6" t="n">
        <v>0.3003</v>
      </c>
      <c r="J72" s="6" t="n">
        <v>-0.6499</v>
      </c>
      <c r="K72" s="6" t="n">
        <v>-144.1566</v>
      </c>
      <c r="L72" s="6" t="n">
        <v>0.007900000000000001</v>
      </c>
      <c r="M72" s="6" t="n">
        <v>1.327</v>
      </c>
      <c r="N72" s="6" t="n">
        <v>2.394</v>
      </c>
      <c r="O72" s="6" t="n">
        <v>3.994</v>
      </c>
      <c r="P72" s="3" t="n"/>
      <c r="Q72" s="6" t="n">
        <v>0.8702</v>
      </c>
      <c r="R72" s="6" t="n">
        <v>0.3842</v>
      </c>
      <c r="S72" s="6" t="n">
        <v>0.3718</v>
      </c>
      <c r="T72" s="8" t="inlineStr">
        <is>
          <t>B3SMD 09 dG 2e_HDH</t>
        </is>
      </c>
    </row>
    <row r="73" ht="27" customHeight="1">
      <c r="A73" s="3" t="inlineStr">
        <is>
          <t>B3gas</t>
        </is>
      </c>
      <c r="B73" s="3" t="inlineStr">
        <is>
          <t>LUMO of ArX</t>
        </is>
      </c>
      <c r="C73" s="3" t="inlineStr">
        <is>
          <t>LUMO_eV</t>
        </is>
      </c>
      <c r="D73" s="3" t="inlineStr">
        <is>
          <t>thermo</t>
        </is>
      </c>
      <c r="E73" s="3" t="n">
        <v>7</v>
      </c>
      <c r="F73" s="6">
        <f>'B3gas 09 LUMO'!Q7</f>
        <v/>
      </c>
      <c r="G73" s="6">
        <f>'B3gas 09 LUMO'!Q5</f>
        <v/>
      </c>
      <c r="H73" s="6" t="n">
        <v>0.8427</v>
      </c>
      <c r="I73" s="6" t="n">
        <v>0.2816</v>
      </c>
      <c r="J73" s="6" t="n">
        <v>-4.6493</v>
      </c>
      <c r="K73" s="6" t="n">
        <v>-8.9407</v>
      </c>
      <c r="L73" s="6" t="n">
        <v>0.0035</v>
      </c>
      <c r="M73" s="6" t="n">
        <v>1.1352</v>
      </c>
      <c r="N73" s="6" t="n">
        <v>2.4259</v>
      </c>
      <c r="O73" s="6" t="n">
        <v>1.541</v>
      </c>
      <c r="P73" s="3" t="n"/>
      <c r="Q73" s="6" t="n">
        <v>0.7105</v>
      </c>
      <c r="R73" s="6" t="n">
        <v>0.7605</v>
      </c>
      <c r="S73" s="6" t="n">
        <v>0.7573</v>
      </c>
      <c r="T73" s="8" t="inlineStr">
        <is>
          <t>B3gas 09 LUMO</t>
        </is>
      </c>
    </row>
    <row r="74" ht="27" customHeight="1">
      <c r="A74" s="3" t="inlineStr">
        <is>
          <t>B3SMD</t>
        </is>
      </c>
      <c r="B74" s="3" t="inlineStr">
        <is>
          <t>LUMO of the radical anion ArX•⁻</t>
        </is>
      </c>
      <c r="C74" s="3" t="inlineStr">
        <is>
          <t>LUMO_RA_eV</t>
        </is>
      </c>
      <c r="D74" s="3" t="inlineStr">
        <is>
          <t>thermo</t>
        </is>
      </c>
      <c r="E74" s="3" t="n">
        <v>7</v>
      </c>
      <c r="F74" s="6">
        <f>'B3SMD 11 LUMO_RA'!Q7</f>
        <v/>
      </c>
      <c r="G74" s="6">
        <f>'B3SMD 11 LUMO_RA'!Q5</f>
        <v/>
      </c>
      <c r="H74" s="6" t="n">
        <v>0.7559</v>
      </c>
      <c r="I74" s="6" t="n">
        <v>0.2752</v>
      </c>
      <c r="J74" s="6" t="n">
        <v>-8.774100000000001</v>
      </c>
      <c r="K74" s="6" t="n">
        <v>-18.7654</v>
      </c>
      <c r="L74" s="6" t="n">
        <v>0.011</v>
      </c>
      <c r="M74" s="6" t="n">
        <v>1.414</v>
      </c>
      <c r="N74" s="6" t="n">
        <v>2.4366</v>
      </c>
      <c r="O74" s="6" t="n">
        <v>7.304</v>
      </c>
      <c r="P74" s="3" t="n"/>
      <c r="Q74" s="6" t="n">
        <v>0.6263</v>
      </c>
      <c r="R74" s="6" t="n">
        <v>0.4134</v>
      </c>
      <c r="S74" s="6" t="n">
        <v>0.4149</v>
      </c>
      <c r="T74" s="8" t="inlineStr">
        <is>
          <t>B3SMD 11 LUMO_RA</t>
        </is>
      </c>
    </row>
    <row r="75" ht="40.5" customHeight="1">
      <c r="A75" s="3" t="inlineStr">
        <is>
          <t>M6gas</t>
        </is>
      </c>
      <c r="B75" s="3" t="inlineStr">
        <is>
          <t>electrophilicity index (ΔSCF)</t>
        </is>
      </c>
      <c r="C75" s="3" t="inlineStr">
        <is>
          <t>omega_dSCF_eV</t>
        </is>
      </c>
      <c r="D75" s="3" t="inlineStr">
        <is>
          <t>extended</t>
        </is>
      </c>
      <c r="E75" s="3" t="n">
        <v>7</v>
      </c>
      <c r="F75" s="6">
        <f>'M6gas 10 omega_dSCF'!Q7</f>
        <v/>
      </c>
      <c r="G75" s="6">
        <f>'M6gas 10 omega_dSCF'!Q5</f>
        <v/>
      </c>
      <c r="H75" s="6" t="n">
        <v>0.7629</v>
      </c>
      <c r="I75" s="6" t="n">
        <v>0.2394</v>
      </c>
      <c r="J75" s="6" t="n">
        <v>11.173</v>
      </c>
      <c r="K75" s="6" t="n">
        <v>-13.6175</v>
      </c>
      <c r="L75" s="6" t="n">
        <v>0.0102</v>
      </c>
      <c r="M75" s="6" t="n">
        <v>1.3937</v>
      </c>
      <c r="N75" s="6" t="n">
        <v>2.4961</v>
      </c>
      <c r="O75" s="6" t="n">
        <v>1.577</v>
      </c>
      <c r="P75" s="3" t="n"/>
      <c r="Q75" s="6" t="n">
        <v>0.7451</v>
      </c>
      <c r="R75" s="6" t="n">
        <v>0.7188</v>
      </c>
      <c r="S75" s="6" t="n">
        <v>0.7161999999999999</v>
      </c>
      <c r="T75" s="8" t="inlineStr">
        <is>
          <t>M6gas 10 omega_dSCF</t>
        </is>
      </c>
    </row>
    <row r="76" ht="27" customHeight="1">
      <c r="A76" s="3" t="inlineStr">
        <is>
          <t>B3SMD</t>
        </is>
      </c>
      <c r="B76" s="3" t="inlineStr">
        <is>
          <t>LUMO of ArX</t>
        </is>
      </c>
      <c r="C76" s="3" t="inlineStr">
        <is>
          <t>LUMO_eV</t>
        </is>
      </c>
      <c r="D76" s="3" t="inlineStr">
        <is>
          <t>thermo</t>
        </is>
      </c>
      <c r="E76" s="3" t="n">
        <v>7</v>
      </c>
      <c r="F76" s="6">
        <f>'B3SMD 05 LUMO'!Q7</f>
        <v/>
      </c>
      <c r="G76" s="6">
        <f>'B3SMD 05 LUMO'!Q5</f>
        <v/>
      </c>
      <c r="H76" s="6" t="n">
        <v>0.8437</v>
      </c>
      <c r="I76" s="6" t="n">
        <v>0.2325</v>
      </c>
      <c r="J76" s="6" t="n">
        <v>-4.3352</v>
      </c>
      <c r="K76" s="6" t="n">
        <v>-7.9111</v>
      </c>
      <c r="L76" s="6" t="n">
        <v>0.0035</v>
      </c>
      <c r="M76" s="6" t="n">
        <v>1.1316</v>
      </c>
      <c r="N76" s="6" t="n">
        <v>2.5073</v>
      </c>
      <c r="O76" s="6" t="n">
        <v>1.377</v>
      </c>
      <c r="P76" s="3" t="n"/>
      <c r="Q76" s="6" t="n">
        <v>0.758</v>
      </c>
      <c r="R76" s="6" t="n">
        <v>0.7856</v>
      </c>
      <c r="S76" s="6" t="n">
        <v>0.7847</v>
      </c>
      <c r="T76" s="8" t="inlineStr">
        <is>
          <t>B3SMD 05 LUMO</t>
        </is>
      </c>
    </row>
    <row r="77" ht="27" customHeight="1">
      <c r="A77" s="3" t="inlineStr">
        <is>
          <t>M6SMD</t>
        </is>
      </c>
      <c r="B77" s="3" t="inlineStr">
        <is>
          <t>vertical electron affinity</t>
        </is>
      </c>
      <c r="C77" s="3" t="inlineStr">
        <is>
          <t>VEA_eV</t>
        </is>
      </c>
      <c r="D77" s="3" t="inlineStr">
        <is>
          <t>extended</t>
        </is>
      </c>
      <c r="E77" s="3" t="n">
        <v>7</v>
      </c>
      <c r="F77" s="6">
        <f>'M6SMD 06 VEA'!Q7</f>
        <v/>
      </c>
      <c r="G77" s="6">
        <f>'M6SMD 06 VEA'!Q5</f>
        <v/>
      </c>
      <c r="H77" s="6" t="n">
        <v>0.8275</v>
      </c>
      <c r="I77" s="6" t="n">
        <v>0.2059</v>
      </c>
      <c r="J77" s="6" t="n">
        <v>6.8345</v>
      </c>
      <c r="K77" s="6" t="n">
        <v>-11.7573</v>
      </c>
      <c r="L77" s="6" t="n">
        <v>0.0045</v>
      </c>
      <c r="M77" s="6" t="n">
        <v>1.1886</v>
      </c>
      <c r="N77" s="6" t="n">
        <v>2.5504</v>
      </c>
      <c r="O77" s="6" t="n">
        <v>1.696</v>
      </c>
      <c r="P77" s="3" t="n"/>
      <c r="Q77" s="6" t="n">
        <v>0.716</v>
      </c>
      <c r="R77" s="6" t="n">
        <v>0.7322</v>
      </c>
      <c r="S77" s="6" t="n">
        <v>0.7183</v>
      </c>
      <c r="T77" s="8" t="inlineStr">
        <is>
          <t>M6SMD 06 VEA</t>
        </is>
      </c>
    </row>
    <row r="78" ht="27" customHeight="1">
      <c r="A78" s="3" t="inlineStr">
        <is>
          <t>M6SMD</t>
        </is>
      </c>
      <c r="B78" s="3" t="inlineStr">
        <is>
          <t>largest Fukui f+ on a C–X bond</t>
        </is>
      </c>
      <c r="C78" s="3" t="inlineStr">
        <is>
          <t>max_fplus_CX</t>
        </is>
      </c>
      <c r="D78" s="3" t="inlineStr">
        <is>
          <t>extended</t>
        </is>
      </c>
      <c r="E78" s="3" t="n">
        <v>7</v>
      </c>
      <c r="F78" s="6">
        <f>'M6SMD 14 fplus_CX'!Q7</f>
        <v/>
      </c>
      <c r="G78" s="6">
        <f>'M6SMD 14 fplus_CX'!Q5</f>
        <v/>
      </c>
      <c r="H78" s="6" t="n">
        <v>0.5331</v>
      </c>
      <c r="I78" s="6" t="n">
        <v>0.1795</v>
      </c>
      <c r="J78" s="6" t="n">
        <v>105.2913</v>
      </c>
      <c r="K78" s="6" t="n">
        <v>-15.9496</v>
      </c>
      <c r="L78" s="6" t="n">
        <v>0.0624</v>
      </c>
      <c r="M78" s="6" t="n">
        <v>1.9556</v>
      </c>
      <c r="N78" s="6" t="n">
        <v>2.5925</v>
      </c>
      <c r="O78" s="6" t="n">
        <v>5.003</v>
      </c>
      <c r="P78" s="3" t="n"/>
      <c r="Q78" s="6" t="n">
        <v>0.5645</v>
      </c>
      <c r="R78" s="6" t="n">
        <v>0.3151</v>
      </c>
      <c r="S78" s="6" t="n">
        <v>0.2696</v>
      </c>
      <c r="T78" s="8" t="inlineStr">
        <is>
          <t>M6SMD 14 fplus_CX</t>
        </is>
      </c>
    </row>
    <row r="79" ht="40.5" customHeight="1">
      <c r="A79" s="3" t="inlineStr">
        <is>
          <t>M6SMD</t>
        </is>
      </c>
      <c r="B79" s="3" t="inlineStr">
        <is>
          <t>Savéant intrinsic barrier (weakest C–X)</t>
        </is>
      </c>
      <c r="C79" s="3" t="inlineStr">
        <is>
          <t>min_dG0_act_concerted_kcal</t>
        </is>
      </c>
      <c r="D79" s="3" t="inlineStr">
        <is>
          <t>extended</t>
        </is>
      </c>
      <c r="E79" s="3" t="n">
        <v>7</v>
      </c>
      <c r="F79" s="6">
        <f>'M6SMD 05 dG0_act_concerted'!Q7</f>
        <v/>
      </c>
      <c r="G79" s="6">
        <f>'M6SMD 05 dG0_act_concerted'!Q5</f>
        <v/>
      </c>
      <c r="H79" s="6" t="n">
        <v>0.8285</v>
      </c>
      <c r="I79" s="6" t="n">
        <v>0.1375</v>
      </c>
      <c r="J79" s="6" t="n">
        <v>-2.5709</v>
      </c>
      <c r="K79" s="6" t="n">
        <v>65.05119999999999</v>
      </c>
      <c r="L79" s="6" t="n">
        <v>0.0044</v>
      </c>
      <c r="M79" s="6" t="n">
        <v>1.1854</v>
      </c>
      <c r="N79" s="6" t="n">
        <v>2.658</v>
      </c>
      <c r="O79" s="6" t="n">
        <v>9.532999999999999</v>
      </c>
      <c r="P79" s="6" t="n">
        <v>1.523</v>
      </c>
      <c r="Q79" s="6" t="n">
        <v>0.7702</v>
      </c>
      <c r="R79" s="6" t="n">
        <v>0.1888</v>
      </c>
      <c r="S79" s="6" t="n">
        <v>0.1623</v>
      </c>
      <c r="T79" s="8" t="inlineStr">
        <is>
          <t>M6SMD 05 dG0_act_concerted</t>
        </is>
      </c>
    </row>
    <row r="80" ht="27" customHeight="1">
      <c r="A80" s="3" t="inlineStr">
        <is>
          <t>M6gas</t>
        </is>
      </c>
      <c r="B80" s="3" t="inlineStr">
        <is>
          <t>ΔG ArX + H⁺ + 2e⁻ → ArH + X⁻</t>
        </is>
      </c>
      <c r="C80" s="3" t="inlineStr">
        <is>
          <t>min_dG_2e_HDH_kcal</t>
        </is>
      </c>
      <c r="D80" s="3" t="inlineStr">
        <is>
          <t>extended</t>
        </is>
      </c>
      <c r="E80" s="3" t="n">
        <v>7</v>
      </c>
      <c r="F80" s="6">
        <f>'M6gas 09 dG 2e_HDH'!Q7</f>
        <v/>
      </c>
      <c r="G80" s="6">
        <f>'M6gas 09 dG 2e_HDH'!Q5</f>
        <v/>
      </c>
      <c r="H80" s="6" t="n">
        <v>0.7853</v>
      </c>
      <c r="I80" s="6" t="n">
        <v>0.0999</v>
      </c>
      <c r="J80" s="6" t="n">
        <v>-0.7524</v>
      </c>
      <c r="K80" s="6" t="n">
        <v>-321.3947</v>
      </c>
      <c r="L80" s="6" t="n">
        <v>0.007900000000000001</v>
      </c>
      <c r="M80" s="6" t="n">
        <v>1.3262</v>
      </c>
      <c r="N80" s="6" t="n">
        <v>2.7153</v>
      </c>
      <c r="O80" s="6" t="n">
        <v>5.036</v>
      </c>
      <c r="P80" s="3" t="n"/>
      <c r="Q80" s="6" t="n">
        <v>0.8894</v>
      </c>
      <c r="R80" s="6" t="n">
        <v>0.3672</v>
      </c>
      <c r="S80" s="6" t="n">
        <v>0.3531</v>
      </c>
      <c r="T80" s="8" t="inlineStr">
        <is>
          <t>M6gas 09 dG 2e_HDH</t>
        </is>
      </c>
    </row>
    <row r="81" ht="27" customHeight="1">
      <c r="A81" s="3" t="inlineStr">
        <is>
          <t>B3gas</t>
        </is>
      </c>
      <c r="B81" s="3" t="inlineStr">
        <is>
          <t>ΔG ArX + H⁺ + 2e⁻ → ArH + X⁻</t>
        </is>
      </c>
      <c r="C81" s="3" t="inlineStr">
        <is>
          <t>min_dG_2e_HDH_kcal</t>
        </is>
      </c>
      <c r="D81" s="3" t="inlineStr">
        <is>
          <t>extended</t>
        </is>
      </c>
      <c r="E81" s="3" t="n">
        <v>7</v>
      </c>
      <c r="F81" s="6">
        <f>'B3gas 11 dG 2e_HDH'!Q7</f>
        <v/>
      </c>
      <c r="G81" s="6">
        <f>'B3gas 11 dG 2e_HDH'!Q5</f>
        <v/>
      </c>
      <c r="H81" s="6" t="n">
        <v>0.7562</v>
      </c>
      <c r="I81" s="6" t="n">
        <v>0.0213</v>
      </c>
      <c r="J81" s="6" t="n">
        <v>-0.6342</v>
      </c>
      <c r="K81" s="6" t="n">
        <v>-275.8338</v>
      </c>
      <c r="L81" s="6" t="n">
        <v>0.011</v>
      </c>
      <c r="M81" s="6" t="n">
        <v>1.4133</v>
      </c>
      <c r="N81" s="6" t="n">
        <v>2.8314</v>
      </c>
      <c r="O81" s="6" t="n">
        <v>3.233</v>
      </c>
      <c r="P81" s="3" t="n"/>
      <c r="Q81" s="6" t="n">
        <v>0.8754999999999999</v>
      </c>
      <c r="R81" s="6" t="n">
        <v>0.5178</v>
      </c>
      <c r="S81" s="6" t="n">
        <v>0.4978</v>
      </c>
      <c r="T81" s="8" t="inlineStr">
        <is>
          <t>B3gas 11 dG 2e_HDH</t>
        </is>
      </c>
    </row>
    <row r="82" ht="40.5" customHeight="1">
      <c r="A82" s="3" t="inlineStr">
        <is>
          <t>M6SMD</t>
        </is>
      </c>
      <c r="B82" s="3" t="inlineStr">
        <is>
          <t>Savéant concerted barrier</t>
        </is>
      </c>
      <c r="C82" s="3" t="inlineStr">
        <is>
          <t>eff_dG_act_concerted_kcal @ -2.00 V</t>
        </is>
      </c>
      <c r="D82" s="3" t="inlineStr">
        <is>
          <t>extended</t>
        </is>
      </c>
      <c r="E82" s="3" t="n">
        <v>7</v>
      </c>
      <c r="F82" s="6">
        <f>'M6SMD 08 dG act_concerted'!Q7</f>
        <v/>
      </c>
      <c r="G82" s="6">
        <f>'M6SMD 08 dG act_concerted'!Q5</f>
        <v/>
      </c>
      <c r="H82" s="6" t="n">
        <v>0.8007</v>
      </c>
      <c r="I82" s="6" t="n">
        <v>-0.0434</v>
      </c>
      <c r="J82" s="6" t="n">
        <v>-1.0471</v>
      </c>
      <c r="K82" s="6" t="n">
        <v>20.6633</v>
      </c>
      <c r="L82" s="6" t="n">
        <v>0.0065</v>
      </c>
      <c r="M82" s="6" t="n">
        <v>1.2776</v>
      </c>
      <c r="N82" s="6" t="n">
        <v>2.9235</v>
      </c>
      <c r="O82" s="6" t="n">
        <v>2.672</v>
      </c>
      <c r="P82" s="6" t="n">
        <v>0.62</v>
      </c>
      <c r="Q82" s="6" t="n">
        <v>0.8484</v>
      </c>
      <c r="R82" s="6" t="n">
        <v>0.6002999999999999</v>
      </c>
      <c r="S82" s="6" t="n">
        <v>0.5449000000000001</v>
      </c>
      <c r="T82" s="8" t="inlineStr">
        <is>
          <t>M6SMD 08 dG act_concerted</t>
        </is>
      </c>
    </row>
    <row r="83" ht="40.5" customHeight="1">
      <c r="A83" s="3" t="inlineStr">
        <is>
          <t>M6SMD</t>
        </is>
      </c>
      <c r="B83" s="3" t="inlineStr">
        <is>
          <t>combined stepwise + concerted</t>
        </is>
      </c>
      <c r="C83" s="3" t="inlineStr">
        <is>
          <t>eff_dG_act_combined_kcal @ -2.00 V</t>
        </is>
      </c>
      <c r="D83" s="3" t="inlineStr">
        <is>
          <t>extended</t>
        </is>
      </c>
      <c r="E83" s="3" t="n">
        <v>7</v>
      </c>
      <c r="F83" s="6">
        <f>'M6SMD 09 dG act_combined'!Q7</f>
        <v/>
      </c>
      <c r="G83" s="6">
        <f>'M6SMD 09 dG act_combined'!Q5</f>
        <v/>
      </c>
      <c r="H83" s="6" t="n">
        <v>0.8007</v>
      </c>
      <c r="I83" s="6" t="n">
        <v>-0.0434</v>
      </c>
      <c r="J83" s="6" t="n">
        <v>-1.0471</v>
      </c>
      <c r="K83" s="6" t="n">
        <v>20.6633</v>
      </c>
      <c r="L83" s="6" t="n">
        <v>0.0065</v>
      </c>
      <c r="M83" s="6" t="n">
        <v>1.2776</v>
      </c>
      <c r="N83" s="6" t="n">
        <v>2.9235</v>
      </c>
      <c r="O83" s="6" t="n">
        <v>2.672</v>
      </c>
      <c r="P83" s="6" t="n">
        <v>0.62</v>
      </c>
      <c r="Q83" s="6" t="n">
        <v>0.8484</v>
      </c>
      <c r="R83" s="6" t="n">
        <v>0.6002999999999999</v>
      </c>
      <c r="S83" s="6" t="n">
        <v>0.5449000000000001</v>
      </c>
      <c r="T83" s="8" t="inlineStr">
        <is>
          <t>M6SMD 09 dG act_combined</t>
        </is>
      </c>
    </row>
    <row r="84" ht="40.5" customHeight="1">
      <c r="A84" s="3" t="inlineStr">
        <is>
          <t>B3gas</t>
        </is>
      </c>
      <c r="B84" s="3" t="inlineStr">
        <is>
          <t>electrophilicity index (ΔSCF)</t>
        </is>
      </c>
      <c r="C84" s="3" t="inlineStr">
        <is>
          <t>omega_dSCF_eV</t>
        </is>
      </c>
      <c r="D84" s="3" t="inlineStr">
        <is>
          <t>extended</t>
        </is>
      </c>
      <c r="E84" s="3" t="n">
        <v>7</v>
      </c>
      <c r="F84" s="6">
        <f>'B3gas 12 omega_dSCF'!Q7</f>
        <v/>
      </c>
      <c r="G84" s="6">
        <f>'B3gas 12 omega_dSCF'!Q5</f>
        <v/>
      </c>
      <c r="H84" s="6" t="n">
        <v>0.7379</v>
      </c>
      <c r="I84" s="6" t="n">
        <v>-0.0455</v>
      </c>
      <c r="J84" s="6" t="n">
        <v>9.591699999999999</v>
      </c>
      <c r="K84" s="6" t="n">
        <v>-12.795</v>
      </c>
      <c r="L84" s="6" t="n">
        <v>0.0133</v>
      </c>
      <c r="M84" s="6" t="n">
        <v>1.4653</v>
      </c>
      <c r="N84" s="6" t="n">
        <v>2.9264</v>
      </c>
      <c r="O84" s="6" t="n">
        <v>1.519</v>
      </c>
      <c r="P84" s="3" t="n"/>
      <c r="Q84" s="6" t="n">
        <v>0.7456</v>
      </c>
      <c r="R84" s="6" t="n">
        <v>0.6953</v>
      </c>
      <c r="S84" s="6" t="n">
        <v>0.6973</v>
      </c>
      <c r="T84" s="8" t="inlineStr">
        <is>
          <t>B3gas 12 omega_dSCF</t>
        </is>
      </c>
    </row>
    <row r="85" ht="40.5" customHeight="1">
      <c r="A85" s="3" t="inlineStr">
        <is>
          <t>B3SMD</t>
        </is>
      </c>
      <c r="B85" s="3" t="inlineStr">
        <is>
          <t>Savéant intrinsic barrier (weakest C–X)</t>
        </is>
      </c>
      <c r="C85" s="3" t="inlineStr">
        <is>
          <t>min_dG0_act_concerted_kcal</t>
        </is>
      </c>
      <c r="D85" s="3" t="inlineStr">
        <is>
          <t>extended</t>
        </is>
      </c>
      <c r="E85" s="3" t="n">
        <v>7</v>
      </c>
      <c r="F85" s="6">
        <f>'B3SMD 08 dG0_act_concerted'!Q7</f>
        <v/>
      </c>
      <c r="G85" s="6">
        <f>'B3SMD 08 dG0_act_concerted'!Q5</f>
        <v/>
      </c>
      <c r="H85" s="6" t="n">
        <v>0.7877999999999999</v>
      </c>
      <c r="I85" s="6" t="n">
        <v>-0.09470000000000001</v>
      </c>
      <c r="J85" s="6" t="n">
        <v>-2.0629</v>
      </c>
      <c r="K85" s="6" t="n">
        <v>49.9981</v>
      </c>
      <c r="L85" s="6" t="n">
        <v>0.0077</v>
      </c>
      <c r="M85" s="6" t="n">
        <v>1.3185</v>
      </c>
      <c r="N85" s="6" t="n">
        <v>2.9945</v>
      </c>
      <c r="O85" s="6" t="n">
        <v>6.197</v>
      </c>
      <c r="P85" s="6" t="n">
        <v>1.222</v>
      </c>
      <c r="Q85" s="6" t="n">
        <v>0.7723</v>
      </c>
      <c r="R85" s="6" t="n">
        <v>0.3017</v>
      </c>
      <c r="S85" s="6" t="n">
        <v>0.2533</v>
      </c>
      <c r="T85" s="8" t="inlineStr">
        <is>
          <t>B3SMD 08 dG0_act_concerted</t>
        </is>
      </c>
    </row>
    <row r="86" ht="40.5" customHeight="1">
      <c r="A86" s="3" t="inlineStr">
        <is>
          <t>M6SMD</t>
        </is>
      </c>
      <c r="B86" s="3" t="inlineStr">
        <is>
          <t>electrophilicity index (ΔSCF)</t>
        </is>
      </c>
      <c r="C86" s="3" t="inlineStr">
        <is>
          <t>omega_dSCF_eV</t>
        </is>
      </c>
      <c r="D86" s="3" t="inlineStr">
        <is>
          <t>extended</t>
        </is>
      </c>
      <c r="E86" s="3" t="n">
        <v>7</v>
      </c>
      <c r="F86" s="6">
        <f>'M6SMD 10 omega_dSCF'!Q7</f>
        <v/>
      </c>
      <c r="G86" s="6">
        <f>'M6SMD 10 omega_dSCF'!Q5</f>
        <v/>
      </c>
      <c r="H86" s="6" t="n">
        <v>0.7953</v>
      </c>
      <c r="I86" s="6" t="n">
        <v>-0.1301</v>
      </c>
      <c r="J86" s="6" t="n">
        <v>8.936199999999999</v>
      </c>
      <c r="K86" s="6" t="n">
        <v>-16.6302</v>
      </c>
      <c r="L86" s="6" t="n">
        <v>0.007</v>
      </c>
      <c r="M86" s="6" t="n">
        <v>1.295</v>
      </c>
      <c r="N86" s="6" t="n">
        <v>3.0426</v>
      </c>
      <c r="O86" s="6" t="n">
        <v>1.638</v>
      </c>
      <c r="P86" s="3" t="n"/>
      <c r="Q86" s="6" t="n">
        <v>0.7413999999999999</v>
      </c>
      <c r="R86" s="6" t="n">
        <v>0.7301</v>
      </c>
      <c r="S86" s="6" t="n">
        <v>0.7038</v>
      </c>
      <c r="T86" s="8" t="inlineStr">
        <is>
          <t>M6SMD 10 omega_dSCF</t>
        </is>
      </c>
    </row>
    <row r="87" ht="40.5" customHeight="1">
      <c r="A87" s="3" t="inlineStr">
        <is>
          <t>B3SMD</t>
        </is>
      </c>
      <c r="B87" s="3" t="inlineStr">
        <is>
          <t>Savéant concerted barrier</t>
        </is>
      </c>
      <c r="C87" s="3" t="inlineStr">
        <is>
          <t>eff_dG_act_concerted_kcal @ -2.00 V</t>
        </is>
      </c>
      <c r="D87" s="3" t="inlineStr">
        <is>
          <t>extended</t>
        </is>
      </c>
      <c r="E87" s="3" t="n">
        <v>7</v>
      </c>
      <c r="F87" s="6">
        <f>'B3SMD 10 dG act_concerted'!Q7</f>
        <v/>
      </c>
      <c r="G87" s="6">
        <f>'B3SMD 10 dG act_concerted'!Q5</f>
        <v/>
      </c>
      <c r="H87" s="6" t="n">
        <v>0.7709</v>
      </c>
      <c r="I87" s="6" t="n">
        <v>-0.2348</v>
      </c>
      <c r="J87" s="6" t="n">
        <v>-0.8657</v>
      </c>
      <c r="K87" s="6" t="n">
        <v>13.9001</v>
      </c>
      <c r="L87" s="6" t="n">
        <v>0.009299999999999999</v>
      </c>
      <c r="M87" s="6" t="n">
        <v>1.3698</v>
      </c>
      <c r="N87" s="6" t="n">
        <v>3.1803</v>
      </c>
      <c r="O87" s="6" t="n">
        <v>1.482</v>
      </c>
      <c r="P87" s="6" t="n">
        <v>0.513</v>
      </c>
      <c r="Q87" s="6" t="n">
        <v>0.8556</v>
      </c>
      <c r="R87" s="6" t="n">
        <v>0.7556</v>
      </c>
      <c r="S87" s="6" t="n">
        <v>0.7153</v>
      </c>
      <c r="T87" s="8" t="inlineStr">
        <is>
          <t>B3SMD 10 dG act_concerted</t>
        </is>
      </c>
    </row>
    <row r="88" ht="27" customHeight="1">
      <c r="A88" s="3" t="inlineStr">
        <is>
          <t>B3SMD</t>
        </is>
      </c>
      <c r="B88" s="3" t="inlineStr">
        <is>
          <t>ΔG ArX + e⁻ → ArX•⁻</t>
        </is>
      </c>
      <c r="C88" s="3" t="inlineStr">
        <is>
          <t>dG_ET_any_kcal</t>
        </is>
      </c>
      <c r="D88" s="3" t="inlineStr">
        <is>
          <t>thermo</t>
        </is>
      </c>
      <c r="E88" s="3" t="n">
        <v>7</v>
      </c>
      <c r="F88" s="6">
        <f>'B3SMD 12 dG ET_any'!Q7</f>
        <v/>
      </c>
      <c r="G88" s="6">
        <f>'B3SMD 12 dG ET_any'!Q5</f>
        <v/>
      </c>
      <c r="H88" s="6" t="n">
        <v>0.7489</v>
      </c>
      <c r="I88" s="6" t="n">
        <v>-0.253</v>
      </c>
      <c r="J88" s="6" t="n">
        <v>-0.4652</v>
      </c>
      <c r="K88" s="6" t="n">
        <v>-32.1512</v>
      </c>
      <c r="L88" s="6" t="n">
        <v>0.0119</v>
      </c>
      <c r="M88" s="6" t="n">
        <v>1.4343</v>
      </c>
      <c r="N88" s="6" t="n">
        <v>3.2037</v>
      </c>
      <c r="O88" s="6" t="n">
        <v>3.474</v>
      </c>
      <c r="P88" s="3" t="n"/>
      <c r="Q88" s="6" t="n">
        <v>0.7728</v>
      </c>
      <c r="R88" s="6" t="n">
        <v>0.6344</v>
      </c>
      <c r="S88" s="6" t="n">
        <v>0.6354</v>
      </c>
      <c r="T88" s="8" t="inlineStr">
        <is>
          <t>B3SMD 12 dG ET_any</t>
        </is>
      </c>
    </row>
    <row r="89" ht="27" customHeight="1">
      <c r="A89" s="3" t="inlineStr">
        <is>
          <t>B3gas</t>
        </is>
      </c>
      <c r="B89" s="3" t="inlineStr">
        <is>
          <t>largest C–X elongation in ArX•⁻</t>
        </is>
      </c>
      <c r="C89" s="3" t="inlineStr">
        <is>
          <t>max_dr_CX_RA_A</t>
        </is>
      </c>
      <c r="D89" s="3" t="inlineStr">
        <is>
          <t>extended</t>
        </is>
      </c>
      <c r="E89" s="3" t="n">
        <v>7</v>
      </c>
      <c r="F89" s="6">
        <f>'B3gas 15 dr_CX_RA'!Q7</f>
        <v/>
      </c>
      <c r="G89" s="6">
        <f>'B3gas 15 dr_CX_RA'!Q5</f>
        <v/>
      </c>
      <c r="H89" s="6" t="n">
        <v>0.3399</v>
      </c>
      <c r="I89" s="6" t="n">
        <v>-0.3259</v>
      </c>
      <c r="J89" s="6" t="n">
        <v>-4.3974</v>
      </c>
      <c r="K89" s="6" t="n">
        <v>0.4763</v>
      </c>
      <c r="L89" s="6" t="n">
        <v>0.1695</v>
      </c>
      <c r="M89" s="6" t="n">
        <v>2.3253</v>
      </c>
      <c r="N89" s="6" t="n">
        <v>3.2955</v>
      </c>
      <c r="O89" s="6" t="n">
        <v>3.101</v>
      </c>
      <c r="P89" s="3" t="n"/>
      <c r="Q89" s="6" t="n">
        <v>0.0072</v>
      </c>
      <c r="R89" s="6" t="n">
        <v>0.1292</v>
      </c>
      <c r="S89" s="6" t="n">
        <v>0.0843</v>
      </c>
      <c r="T89" s="8" t="inlineStr">
        <is>
          <t>B3gas 15 dr_CX_RA</t>
        </is>
      </c>
    </row>
    <row r="90" ht="27" customHeight="1">
      <c r="A90" s="3" t="inlineStr">
        <is>
          <t>M6gas</t>
        </is>
      </c>
      <c r="B90" s="3" t="inlineStr">
        <is>
          <t>LUMO of the radical anion ArX•⁻</t>
        </is>
      </c>
      <c r="C90" s="3" t="inlineStr">
        <is>
          <t>LUMO_RA_eV</t>
        </is>
      </c>
      <c r="D90" s="3" t="inlineStr">
        <is>
          <t>thermo</t>
        </is>
      </c>
      <c r="E90" s="3" t="n">
        <v>7</v>
      </c>
      <c r="F90" s="6">
        <f>'M6gas 14 LUMO_RA'!Q7</f>
        <v/>
      </c>
      <c r="G90" s="6">
        <f>'M6gas 14 LUMO_RA'!Q5</f>
        <v/>
      </c>
      <c r="H90" s="6" t="n">
        <v>0.4408</v>
      </c>
      <c r="I90" s="6" t="n">
        <v>-0.3728</v>
      </c>
      <c r="J90" s="6" t="n">
        <v>-5.7594</v>
      </c>
      <c r="K90" s="6" t="n">
        <v>10.3861</v>
      </c>
      <c r="L90" s="6" t="n">
        <v>0.1039</v>
      </c>
      <c r="M90" s="6" t="n">
        <v>2.1401</v>
      </c>
      <c r="N90" s="6" t="n">
        <v>3.3533</v>
      </c>
      <c r="O90" s="6" t="n">
        <v>2.65</v>
      </c>
      <c r="P90" s="3" t="n"/>
      <c r="Q90" s="6" t="n">
        <v>0.3041</v>
      </c>
      <c r="R90" s="6" t="n">
        <v>0.3335</v>
      </c>
      <c r="S90" s="6" t="n">
        <v>0.3261</v>
      </c>
      <c r="T90" s="8" t="inlineStr">
        <is>
          <t>M6gas 14 LUMO_RA</t>
        </is>
      </c>
    </row>
    <row r="91" ht="27" customHeight="1">
      <c r="A91" s="3" t="inlineStr">
        <is>
          <t>B3SMD</t>
        </is>
      </c>
      <c r="B91" s="3" t="inlineStr">
        <is>
          <t>vertical electron affinity</t>
        </is>
      </c>
      <c r="C91" s="3" t="inlineStr">
        <is>
          <t>VEA_eV</t>
        </is>
      </c>
      <c r="D91" s="3" t="inlineStr">
        <is>
          <t>extended</t>
        </is>
      </c>
      <c r="E91" s="3" t="n">
        <v>7</v>
      </c>
      <c r="F91" s="6">
        <f>'B3SMD 13 VEA'!Q7</f>
        <v/>
      </c>
      <c r="G91" s="6">
        <f>'B3SMD 13 VEA'!Q5</f>
        <v/>
      </c>
      <c r="H91" s="6" t="n">
        <v>0.7452</v>
      </c>
      <c r="I91" s="6" t="n">
        <v>-0.4275</v>
      </c>
      <c r="J91" s="6" t="n">
        <v>4.8048</v>
      </c>
      <c r="K91" s="6" t="n">
        <v>-9.190200000000001</v>
      </c>
      <c r="L91" s="6" t="n">
        <v>0.0123</v>
      </c>
      <c r="M91" s="6" t="n">
        <v>1.4448</v>
      </c>
      <c r="N91" s="6" t="n">
        <v>3.4195</v>
      </c>
      <c r="O91" s="6" t="n">
        <v>1.655</v>
      </c>
      <c r="P91" s="3" t="n"/>
      <c r="Q91" s="6" t="n">
        <v>0.7168</v>
      </c>
      <c r="R91" s="6" t="n">
        <v>0.678</v>
      </c>
      <c r="S91" s="6" t="n">
        <v>0.6777</v>
      </c>
      <c r="T91" s="8" t="inlineStr">
        <is>
          <t>B3SMD 13 VEA</t>
        </is>
      </c>
    </row>
    <row r="92" ht="27" customHeight="1">
      <c r="A92" s="3" t="inlineStr">
        <is>
          <t>M6gas</t>
        </is>
      </c>
      <c r="B92" s="3" t="inlineStr">
        <is>
          <t>LUMO of ArX</t>
        </is>
      </c>
      <c r="C92" s="3" t="inlineStr">
        <is>
          <t>LUMO_eV</t>
        </is>
      </c>
      <c r="D92" s="3" t="inlineStr">
        <is>
          <t>thermo</t>
        </is>
      </c>
      <c r="E92" s="3" t="n">
        <v>7</v>
      </c>
      <c r="F92" s="6">
        <f>'M6gas 11 LUMO'!Q7</f>
        <v/>
      </c>
      <c r="G92" s="6">
        <f>'M6gas 11 LUMO'!Q5</f>
        <v/>
      </c>
      <c r="H92" s="6" t="n">
        <v>0.7588</v>
      </c>
      <c r="I92" s="6" t="n">
        <v>-0.4638</v>
      </c>
      <c r="J92" s="6" t="n">
        <v>-5.4215</v>
      </c>
      <c r="K92" s="6" t="n">
        <v>-4.9087</v>
      </c>
      <c r="L92" s="6" t="n">
        <v>0.0107</v>
      </c>
      <c r="M92" s="6" t="n">
        <v>1.4055</v>
      </c>
      <c r="N92" s="6" t="n">
        <v>3.4627</v>
      </c>
      <c r="O92" s="6" t="n">
        <v>1.623</v>
      </c>
      <c r="P92" s="3" t="n"/>
      <c r="Q92" s="6" t="n">
        <v>0.6747</v>
      </c>
      <c r="R92" s="6" t="n">
        <v>0.7078</v>
      </c>
      <c r="S92" s="6" t="n">
        <v>0.6948</v>
      </c>
      <c r="T92" s="8" t="inlineStr">
        <is>
          <t>M6gas 11 LUMO</t>
        </is>
      </c>
    </row>
    <row r="93" ht="27" customHeight="1">
      <c r="A93" s="3" t="inlineStr">
        <is>
          <t>M6SMD</t>
        </is>
      </c>
      <c r="B93" s="3" t="inlineStr">
        <is>
          <t>LUMO of ArX</t>
        </is>
      </c>
      <c r="C93" s="3" t="inlineStr">
        <is>
          <t>LUMO_eV</t>
        </is>
      </c>
      <c r="D93" s="3" t="inlineStr">
        <is>
          <t>thermo</t>
        </is>
      </c>
      <c r="E93" s="3" t="n">
        <v>7</v>
      </c>
      <c r="F93" s="6">
        <f>'M6SMD 11 LUMO'!Q7</f>
        <v/>
      </c>
      <c r="G93" s="6">
        <f>'M6SMD 11 LUMO'!Q5</f>
        <v/>
      </c>
      <c r="H93" s="6" t="n">
        <v>0.7412</v>
      </c>
      <c r="I93" s="6" t="n">
        <v>-0.6612</v>
      </c>
      <c r="J93" s="6" t="n">
        <v>-4.8021</v>
      </c>
      <c r="K93" s="6" t="n">
        <v>-3.7877</v>
      </c>
      <c r="L93" s="6" t="n">
        <v>0.0128</v>
      </c>
      <c r="M93" s="6" t="n">
        <v>1.4559</v>
      </c>
      <c r="N93" s="6" t="n">
        <v>3.6888</v>
      </c>
      <c r="O93" s="6" t="n">
        <v>1.49</v>
      </c>
      <c r="P93" s="3" t="n"/>
      <c r="Q93" s="6" t="n">
        <v>0.7307</v>
      </c>
      <c r="R93" s="6" t="n">
        <v>0.7094</v>
      </c>
      <c r="S93" s="6" t="n">
        <v>0.7075</v>
      </c>
      <c r="T93" s="8" t="inlineStr">
        <is>
          <t>M6SMD 11 LUMO</t>
        </is>
      </c>
    </row>
    <row r="94" ht="27" customHeight="1">
      <c r="A94" s="3" t="inlineStr">
        <is>
          <t>B3SMD</t>
        </is>
      </c>
      <c r="B94" s="3" t="inlineStr">
        <is>
          <t>ΔG ArX + e⁻ → Ar• + X⁻</t>
        </is>
      </c>
      <c r="C94" s="3" t="inlineStr">
        <is>
          <t>min_dG_1e_kcal</t>
        </is>
      </c>
      <c r="D94" s="3" t="inlineStr">
        <is>
          <t>thermo</t>
        </is>
      </c>
      <c r="E94" s="3" t="n">
        <v>7</v>
      </c>
      <c r="F94" s="6">
        <f>'B3SMD 15 dG 1e'!Q7</f>
        <v/>
      </c>
      <c r="G94" s="6">
        <f>'B3SMD 15 dG 1e'!Q5</f>
        <v/>
      </c>
      <c r="H94" s="6" t="n">
        <v>0.6778999999999999</v>
      </c>
      <c r="I94" s="6" t="n">
        <v>-0.7484</v>
      </c>
      <c r="J94" s="6" t="n">
        <v>-0.6773</v>
      </c>
      <c r="K94" s="6" t="n">
        <v>-46.9141</v>
      </c>
      <c r="L94" s="6" t="n">
        <v>0.0228</v>
      </c>
      <c r="M94" s="6" t="n">
        <v>1.6242</v>
      </c>
      <c r="N94" s="6" t="n">
        <v>3.7844</v>
      </c>
      <c r="O94" s="6" t="n">
        <v>3.362</v>
      </c>
      <c r="P94" s="3" t="n"/>
      <c r="Q94" s="6" t="n">
        <v>0.8099</v>
      </c>
      <c r="R94" s="6" t="n">
        <v>0.3666</v>
      </c>
      <c r="S94" s="6" t="n">
        <v>0.3471</v>
      </c>
      <c r="T94" s="8" t="inlineStr">
        <is>
          <t>B3SMD 15 dG 1e</t>
        </is>
      </c>
    </row>
    <row r="95" ht="27" customHeight="1">
      <c r="A95" s="3" t="inlineStr">
        <is>
          <t>M6SMD</t>
        </is>
      </c>
      <c r="B95" s="3" t="inlineStr">
        <is>
          <t>ΔG ArX + e⁻ → Ar• + X⁻</t>
        </is>
      </c>
      <c r="C95" s="3" t="inlineStr">
        <is>
          <t>min_dG_1e_kcal</t>
        </is>
      </c>
      <c r="D95" s="3" t="inlineStr">
        <is>
          <t>thermo</t>
        </is>
      </c>
      <c r="E95" s="3" t="n">
        <v>7</v>
      </c>
      <c r="F95" s="6">
        <f>'M6SMD 12 dG 1e'!Q7</f>
        <v/>
      </c>
      <c r="G95" s="6">
        <f>'M6SMD 12 dG 1e'!Q5</f>
        <v/>
      </c>
      <c r="H95" s="6" t="n">
        <v>0.7086</v>
      </c>
      <c r="I95" s="6" t="n">
        <v>-0.7651</v>
      </c>
      <c r="J95" s="6" t="n">
        <v>-0.9294</v>
      </c>
      <c r="K95" s="6" t="n">
        <v>-58.5479</v>
      </c>
      <c r="L95" s="6" t="n">
        <v>0.0175</v>
      </c>
      <c r="M95" s="6" t="n">
        <v>1.545</v>
      </c>
      <c r="N95" s="6" t="n">
        <v>3.8024</v>
      </c>
      <c r="O95" s="6" t="n">
        <v>2.993</v>
      </c>
      <c r="P95" s="3" t="n"/>
      <c r="Q95" s="6" t="n">
        <v>0.8561</v>
      </c>
      <c r="R95" s="6" t="n">
        <v>0.4351</v>
      </c>
      <c r="S95" s="6" t="n">
        <v>0.3964</v>
      </c>
      <c r="T95" s="8" t="inlineStr">
        <is>
          <t>M6SMD 12 dG 1e</t>
        </is>
      </c>
    </row>
    <row r="96" ht="27" customHeight="1">
      <c r="A96" s="3" t="inlineStr">
        <is>
          <t>M6SMD</t>
        </is>
      </c>
      <c r="B96" s="3" t="inlineStr">
        <is>
          <t>LUMO of the radical anion ArX•⁻</t>
        </is>
      </c>
      <c r="C96" s="3" t="inlineStr">
        <is>
          <t>LUMO_RA_eV</t>
        </is>
      </c>
      <c r="D96" s="3" t="inlineStr">
        <is>
          <t>thermo</t>
        </is>
      </c>
      <c r="E96" s="3" t="n">
        <v>7</v>
      </c>
      <c r="F96" s="6">
        <f>'M6SMD 19 LUMO_RA'!Q7</f>
        <v/>
      </c>
      <c r="G96" s="6">
        <f>'M6SMD 19 LUMO_RA'!Q5</f>
        <v/>
      </c>
      <c r="H96" s="6" t="n">
        <v>0.1122</v>
      </c>
      <c r="I96" s="6" t="n">
        <v>-0.7702</v>
      </c>
      <c r="J96" s="6" t="n">
        <v>-1.8929</v>
      </c>
      <c r="K96" s="6" t="n">
        <v>-3.4021</v>
      </c>
      <c r="L96" s="6" t="n">
        <v>0.4628</v>
      </c>
      <c r="M96" s="6" t="n">
        <v>2.6968</v>
      </c>
      <c r="N96" s="6" t="n">
        <v>3.8079</v>
      </c>
      <c r="O96" s="6" t="n">
        <v>1.963</v>
      </c>
      <c r="P96" s="3" t="n"/>
      <c r="Q96" s="6" t="n">
        <v>0.3594</v>
      </c>
      <c r="R96" s="6" t="n">
        <v>0.2168</v>
      </c>
      <c r="S96" s="6" t="n">
        <v>0.2206</v>
      </c>
      <c r="T96" s="8" t="inlineStr">
        <is>
          <t>M6SMD 19 LUMO_RA</t>
        </is>
      </c>
    </row>
    <row r="97" ht="27" customHeight="1">
      <c r="A97" s="3" t="inlineStr">
        <is>
          <t>B3SMD</t>
        </is>
      </c>
      <c r="B97" s="3" t="inlineStr">
        <is>
          <t>largest C–X elongation in ArX•⁻</t>
        </is>
      </c>
      <c r="C97" s="3" t="inlineStr">
        <is>
          <t>max_dr_CX_RA_A</t>
        </is>
      </c>
      <c r="D97" s="3" t="inlineStr">
        <is>
          <t>extended</t>
        </is>
      </c>
      <c r="E97" s="3" t="n">
        <v>7</v>
      </c>
      <c r="F97" s="6">
        <f>'B3SMD 17 dr_CX_RA'!Q7</f>
        <v/>
      </c>
      <c r="G97" s="6">
        <f>'B3SMD 17 dr_CX_RA'!Q5</f>
        <v/>
      </c>
      <c r="H97" s="6" t="n">
        <v>0.2416</v>
      </c>
      <c r="I97" s="6" t="n">
        <v>-0.8336</v>
      </c>
      <c r="J97" s="6" t="n">
        <v>-2.8228</v>
      </c>
      <c r="K97" s="6" t="n">
        <v>-0.7115</v>
      </c>
      <c r="L97" s="6" t="n">
        <v>0.2626</v>
      </c>
      <c r="M97" s="6" t="n">
        <v>2.4924</v>
      </c>
      <c r="N97" s="6" t="n">
        <v>3.8755</v>
      </c>
      <c r="O97" s="6" t="n">
        <v>5.995</v>
      </c>
      <c r="P97" s="3" t="n"/>
      <c r="Q97" s="6" t="n">
        <v>0.0014</v>
      </c>
      <c r="R97" s="6" t="n">
        <v>0.0266</v>
      </c>
      <c r="S97" s="6" t="n">
        <v>0.023</v>
      </c>
      <c r="T97" s="8" t="inlineStr">
        <is>
          <t>B3SMD 17 dr_CX_RA</t>
        </is>
      </c>
    </row>
    <row r="98" ht="27" customHeight="1">
      <c r="A98" s="3" t="inlineStr">
        <is>
          <t>B3SMD</t>
        </is>
      </c>
      <c r="B98" s="3" t="inlineStr">
        <is>
          <t>weakest C–X bond enthalpy</t>
        </is>
      </c>
      <c r="C98" s="3" t="inlineStr">
        <is>
          <t>min_BDE_kcal</t>
        </is>
      </c>
      <c r="D98" s="3" t="inlineStr">
        <is>
          <t>extended</t>
        </is>
      </c>
      <c r="E98" s="3" t="n">
        <v>7</v>
      </c>
      <c r="F98" s="6">
        <f>'B3SMD 16 BDE'!Q7</f>
        <v/>
      </c>
      <c r="G98" s="6">
        <f>'B3SMD 16 BDE'!Q5</f>
        <v/>
      </c>
      <c r="H98" s="6" t="n">
        <v>0.6652</v>
      </c>
      <c r="I98" s="6" t="n">
        <v>-0.9488</v>
      </c>
      <c r="J98" s="6" t="n">
        <v>-0.7196</v>
      </c>
      <c r="K98" s="6" t="n">
        <v>49.7511</v>
      </c>
      <c r="L98" s="6" t="n">
        <v>0.0253</v>
      </c>
      <c r="M98" s="6" t="n">
        <v>1.6561</v>
      </c>
      <c r="N98" s="6" t="n">
        <v>3.9954</v>
      </c>
      <c r="O98" s="6" t="n">
        <v>8.507999999999999</v>
      </c>
      <c r="P98" s="3" t="n"/>
      <c r="Q98" s="6" t="n">
        <v>0.7244</v>
      </c>
      <c r="R98" s="6" t="n">
        <v>0.1602</v>
      </c>
      <c r="S98" s="6" t="n">
        <v>0.153</v>
      </c>
      <c r="T98" s="8" t="inlineStr">
        <is>
          <t>B3SMD 16 BDE</t>
        </is>
      </c>
    </row>
    <row r="99" ht="27" customHeight="1">
      <c r="A99" s="3" t="inlineStr">
        <is>
          <t>M6SMD</t>
        </is>
      </c>
      <c r="B99" s="3" t="inlineStr">
        <is>
          <t>ΔG ArX + e⁻ → ArX•⁻</t>
        </is>
      </c>
      <c r="C99" s="3" t="inlineStr">
        <is>
          <t>dG_ET_any_kcal</t>
        </is>
      </c>
      <c r="D99" s="3" t="inlineStr">
        <is>
          <t>thermo</t>
        </is>
      </c>
      <c r="E99" s="3" t="n">
        <v>7</v>
      </c>
      <c r="F99" s="6">
        <f>'M6SMD 15 dG ET_any'!Q7</f>
        <v/>
      </c>
      <c r="G99" s="6">
        <f>'M6SMD 15 dG ET_any'!Q5</f>
        <v/>
      </c>
      <c r="H99" s="6" t="n">
        <v>0.4856</v>
      </c>
      <c r="I99" s="6" t="n">
        <v>-0.9527</v>
      </c>
      <c r="J99" s="6" t="n">
        <v>-0.2147</v>
      </c>
      <c r="K99" s="6" t="n">
        <v>-14.1465</v>
      </c>
      <c r="L99" s="6" t="n">
        <v>0.0819</v>
      </c>
      <c r="M99" s="6" t="n">
        <v>2.0527</v>
      </c>
      <c r="N99" s="6" t="n">
        <v>3.9994</v>
      </c>
      <c r="O99" s="6" t="n">
        <v>1.905</v>
      </c>
      <c r="P99" s="3" t="n"/>
      <c r="Q99" s="6" t="n">
        <v>0.5258</v>
      </c>
      <c r="R99" s="6" t="n">
        <v>0.4882</v>
      </c>
      <c r="S99" s="6" t="n">
        <v>0.4763</v>
      </c>
      <c r="T99" s="8" t="inlineStr">
        <is>
          <t>M6SMD 15 dG ET_any</t>
        </is>
      </c>
    </row>
    <row r="100" ht="27" customHeight="1">
      <c r="A100" s="3" t="inlineStr">
        <is>
          <t>M6gas</t>
        </is>
      </c>
      <c r="B100" s="3" t="inlineStr">
        <is>
          <t>largest C–X elongation in ArX•⁻</t>
        </is>
      </c>
      <c r="C100" s="3" t="inlineStr">
        <is>
          <t>max_dr_CX_RA_A</t>
        </is>
      </c>
      <c r="D100" s="3" t="inlineStr">
        <is>
          <t>extended</t>
        </is>
      </c>
      <c r="E100" s="3" t="n">
        <v>7</v>
      </c>
      <c r="F100" s="6">
        <f>'M6gas 15 dr_CX_RA'!Q7</f>
        <v/>
      </c>
      <c r="G100" s="6">
        <f>'M6gas 15 dr_CX_RA'!Q5</f>
        <v/>
      </c>
      <c r="H100" s="6" t="n">
        <v>0.1135</v>
      </c>
      <c r="I100" s="6" t="n">
        <v>-0.9953</v>
      </c>
      <c r="J100" s="6" t="n">
        <v>-2.4631</v>
      </c>
      <c r="K100" s="6" t="n">
        <v>-0.7542</v>
      </c>
      <c r="L100" s="6" t="n">
        <v>0.4599</v>
      </c>
      <c r="M100" s="6" t="n">
        <v>2.6947</v>
      </c>
      <c r="N100" s="6" t="n">
        <v>4.0428</v>
      </c>
      <c r="O100" s="6" t="n">
        <v>2.673</v>
      </c>
      <c r="P100" s="3" t="n"/>
      <c r="Q100" s="6" t="n">
        <v>0.0048</v>
      </c>
      <c r="R100" s="6" t="n">
        <v>0.0518</v>
      </c>
      <c r="S100" s="6" t="n">
        <v>0.027</v>
      </c>
      <c r="T100" s="8" t="inlineStr">
        <is>
          <t>M6gas 15 dr_CX_RA</t>
        </is>
      </c>
    </row>
    <row r="101" ht="27" customHeight="1">
      <c r="A101" s="3" t="inlineStr">
        <is>
          <t>M6SMD</t>
        </is>
      </c>
      <c r="B101" s="3" t="inlineStr">
        <is>
          <t>largest C–X elongation in ArX•⁻</t>
        </is>
      </c>
      <c r="C101" s="3" t="inlineStr">
        <is>
          <t>max_dr_CX_RA_A</t>
        </is>
      </c>
      <c r="D101" s="3" t="inlineStr">
        <is>
          <t>extended</t>
        </is>
      </c>
      <c r="E101" s="3" t="n">
        <v>7</v>
      </c>
      <c r="F101" s="6">
        <f>'M6SMD 17 dr_CX_RA'!Q7</f>
        <v/>
      </c>
      <c r="G101" s="6">
        <f>'M6SMD 17 dr_CX_RA'!Q5</f>
        <v/>
      </c>
      <c r="H101" s="6" t="n">
        <v>0.31</v>
      </c>
      <c r="I101" s="6" t="n">
        <v>-1.063</v>
      </c>
      <c r="J101" s="6" t="n">
        <v>-1.5677</v>
      </c>
      <c r="K101" s="6" t="n">
        <v>-0.5597</v>
      </c>
      <c r="L101" s="6" t="n">
        <v>0.1942</v>
      </c>
      <c r="M101" s="6" t="n">
        <v>2.3774</v>
      </c>
      <c r="N101" s="6" t="n">
        <v>4.1108</v>
      </c>
      <c r="O101" s="6" t="n">
        <v>2.77</v>
      </c>
      <c r="P101" s="3" t="n"/>
      <c r="Q101" s="6" t="n">
        <v>0.0214</v>
      </c>
      <c r="R101" s="6" t="n">
        <v>0.1161</v>
      </c>
      <c r="S101" s="6" t="n">
        <v>0.1116</v>
      </c>
      <c r="T101" s="8" t="inlineStr">
        <is>
          <t>M6SMD 17 dr_CX_RA</t>
        </is>
      </c>
    </row>
    <row r="102" ht="27" customHeight="1">
      <c r="A102" s="3" t="inlineStr">
        <is>
          <t>M6SMD</t>
        </is>
      </c>
      <c r="B102" s="3" t="inlineStr">
        <is>
          <t>weakest C–X bond enthalpy</t>
        </is>
      </c>
      <c r="C102" s="3" t="inlineStr">
        <is>
          <t>min_BDE_kcal</t>
        </is>
      </c>
      <c r="D102" s="3" t="inlineStr">
        <is>
          <t>extended</t>
        </is>
      </c>
      <c r="E102" s="3" t="n">
        <v>7</v>
      </c>
      <c r="F102" s="6">
        <f>'M6SMD 13 BDE'!Q7</f>
        <v/>
      </c>
      <c r="G102" s="6">
        <f>'M6SMD 13 BDE'!Q5</f>
        <v/>
      </c>
      <c r="H102" s="6" t="n">
        <v>0.7007</v>
      </c>
      <c r="I102" s="6" t="n">
        <v>-1.0808</v>
      </c>
      <c r="J102" s="6" t="n">
        <v>-1.026</v>
      </c>
      <c r="K102" s="6" t="n">
        <v>75.32089999999999</v>
      </c>
      <c r="L102" s="6" t="n">
        <v>0.0188</v>
      </c>
      <c r="M102" s="6" t="n">
        <v>1.5658</v>
      </c>
      <c r="N102" s="6" t="n">
        <v>4.1284</v>
      </c>
      <c r="O102" s="6" t="n">
        <v>15.162</v>
      </c>
      <c r="P102" s="3" t="n"/>
      <c r="Q102" s="6" t="n">
        <v>0.7432</v>
      </c>
      <c r="R102" s="6" t="n">
        <v>0.0822</v>
      </c>
      <c r="S102" s="6" t="n">
        <v>0.0799</v>
      </c>
      <c r="T102" s="8" t="inlineStr">
        <is>
          <t>M6SMD 13 BDE</t>
        </is>
      </c>
    </row>
    <row r="103" ht="40.5" customHeight="1">
      <c r="A103" s="3" t="inlineStr">
        <is>
          <t>M6SMD</t>
        </is>
      </c>
      <c r="B103" s="3" t="inlineStr">
        <is>
          <t>ΔG ArX•⁻ + e⁻ → Ar⁻ + X⁻</t>
        </is>
      </c>
      <c r="C103" s="3" t="inlineStr">
        <is>
          <t>min_dG_RA_2e_any_kcal</t>
        </is>
      </c>
      <c r="D103" s="3" t="inlineStr">
        <is>
          <t>thermo</t>
        </is>
      </c>
      <c r="E103" s="3" t="n">
        <v>7</v>
      </c>
      <c r="F103" s="6">
        <f>'M6SMD 18 dG RA_2e_any'!Q7</f>
        <v/>
      </c>
      <c r="G103" s="6">
        <f>'M6SMD 18 dG RA_2e_any'!Q5</f>
        <v/>
      </c>
      <c r="H103" s="6" t="n">
        <v>0.1955</v>
      </c>
      <c r="I103" s="6" t="n">
        <v>-1.3665</v>
      </c>
      <c r="J103" s="6" t="n">
        <v>-0.1704</v>
      </c>
      <c r="K103" s="6" t="n">
        <v>-18.3873</v>
      </c>
      <c r="L103" s="6" t="n">
        <v>0.3205</v>
      </c>
      <c r="M103" s="6" t="n">
        <v>2.567</v>
      </c>
      <c r="N103" s="6" t="n">
        <v>4.4028</v>
      </c>
      <c r="O103" s="6" t="n">
        <v>3.789</v>
      </c>
      <c r="P103" s="3" t="n"/>
      <c r="Q103" s="6" t="n">
        <v>0.2656</v>
      </c>
      <c r="R103" s="6" t="n">
        <v>0.0294</v>
      </c>
      <c r="S103" s="6" t="n">
        <v>0.0347</v>
      </c>
      <c r="T103" s="8" t="inlineStr">
        <is>
          <t>M6SMD 18 dG RA_2e_any</t>
        </is>
      </c>
    </row>
    <row r="104" ht="27" customHeight="1">
      <c r="A104" s="3" t="inlineStr">
        <is>
          <t>B3gas</t>
        </is>
      </c>
      <c r="B104" s="3" t="inlineStr">
        <is>
          <t>weakest C–X bond enthalpy</t>
        </is>
      </c>
      <c r="C104" s="3" t="inlineStr">
        <is>
          <t>min_BDE_kcal</t>
        </is>
      </c>
      <c r="D104" s="3" t="inlineStr">
        <is>
          <t>extended</t>
        </is>
      </c>
      <c r="E104" s="3" t="n">
        <v>7</v>
      </c>
      <c r="F104" s="6">
        <f>'B3gas 14 BDE'!Q7</f>
        <v/>
      </c>
      <c r="G104" s="6">
        <f>'B3gas 14 BDE'!Q5</f>
        <v/>
      </c>
      <c r="H104" s="6" t="n">
        <v>0.6258</v>
      </c>
      <c r="I104" s="6" t="n">
        <v>-1.3979</v>
      </c>
      <c r="J104" s="6" t="n">
        <v>-0.7137</v>
      </c>
      <c r="K104" s="6" t="n">
        <v>49.4084</v>
      </c>
      <c r="L104" s="6" t="n">
        <v>0.0341</v>
      </c>
      <c r="M104" s="6" t="n">
        <v>1.7507</v>
      </c>
      <c r="N104" s="6" t="n">
        <v>4.4319</v>
      </c>
      <c r="O104" s="6" t="n">
        <v>8.143000000000001</v>
      </c>
      <c r="P104" s="3" t="n"/>
      <c r="Q104" s="6" t="n">
        <v>0.7050999999999999</v>
      </c>
      <c r="R104" s="6" t="n">
        <v>0.1575</v>
      </c>
      <c r="S104" s="6" t="n">
        <v>0.1497</v>
      </c>
      <c r="T104" s="8" t="inlineStr">
        <is>
          <t>B3gas 14 BDE</t>
        </is>
      </c>
    </row>
    <row r="105" ht="40.5" customHeight="1">
      <c r="A105" s="3" t="inlineStr">
        <is>
          <t>B3SMD</t>
        </is>
      </c>
      <c r="B105" s="3" t="inlineStr">
        <is>
          <t>electrophilicity index (ΔSCF)</t>
        </is>
      </c>
      <c r="C105" s="3" t="inlineStr">
        <is>
          <t>omega_dSCF_eV</t>
        </is>
      </c>
      <c r="D105" s="3" t="inlineStr">
        <is>
          <t>extended</t>
        </is>
      </c>
      <c r="E105" s="3" t="n">
        <v>7</v>
      </c>
      <c r="F105" s="6">
        <f>'B3SMD 14 omega_dSCF'!Q7</f>
        <v/>
      </c>
      <c r="G105" s="6">
        <f>'B3SMD 14 omega_dSCF'!Q5</f>
        <v/>
      </c>
      <c r="H105" s="6" t="n">
        <v>0.6786</v>
      </c>
      <c r="I105" s="6" t="n">
        <v>-1.5279</v>
      </c>
      <c r="J105" s="6" t="n">
        <v>5.4507</v>
      </c>
      <c r="K105" s="6" t="n">
        <v>-11.0661</v>
      </c>
      <c r="L105" s="6" t="n">
        <v>0.0227</v>
      </c>
      <c r="M105" s="6" t="n">
        <v>1.6225</v>
      </c>
      <c r="N105" s="6" t="n">
        <v>4.5505</v>
      </c>
      <c r="O105" s="6" t="n">
        <v>1.719</v>
      </c>
      <c r="P105" s="3" t="n"/>
      <c r="Q105" s="6" t="n">
        <v>0.7427</v>
      </c>
      <c r="R105" s="6" t="n">
        <v>0.6268</v>
      </c>
      <c r="S105" s="6" t="n">
        <v>0.6207</v>
      </c>
      <c r="T105" s="8" t="inlineStr">
        <is>
          <t>B3SMD 14 omega_dSCF</t>
        </is>
      </c>
    </row>
    <row r="106" ht="27" customHeight="1">
      <c r="A106" s="3" t="inlineStr">
        <is>
          <t>B3gas</t>
        </is>
      </c>
      <c r="B106" s="3" t="inlineStr">
        <is>
          <t>largest Fukui f+ on a C–X bond</t>
        </is>
      </c>
      <c r="C106" s="3" t="inlineStr">
        <is>
          <t>max_fplus_CX</t>
        </is>
      </c>
      <c r="D106" s="3" t="inlineStr">
        <is>
          <t>extended</t>
        </is>
      </c>
      <c r="E106" s="3" t="n">
        <v>7</v>
      </c>
      <c r="F106" s="6">
        <f>'B3gas 16 fplus_CX'!Q7</f>
        <v/>
      </c>
      <c r="G106" s="6">
        <f>'B3gas 16 fplus_CX'!Q5</f>
        <v/>
      </c>
      <c r="H106" s="6" t="n">
        <v>0.035</v>
      </c>
      <c r="I106" s="6" t="n">
        <v>-1.584</v>
      </c>
      <c r="J106" s="6" t="n">
        <v>-6.9119</v>
      </c>
      <c r="K106" s="6" t="n">
        <v>0.025</v>
      </c>
      <c r="L106" s="6" t="n">
        <v>0.6879</v>
      </c>
      <c r="M106" s="6" t="n">
        <v>2.8115</v>
      </c>
      <c r="N106" s="6" t="n">
        <v>4.6007</v>
      </c>
      <c r="O106" s="6" t="n">
        <v>2.754</v>
      </c>
      <c r="P106" s="3" t="n"/>
      <c r="Q106" s="6" t="n">
        <v>0.4725</v>
      </c>
      <c r="R106" s="6" t="n">
        <v>0.005</v>
      </c>
      <c r="S106" s="6" t="n">
        <v>0.0039</v>
      </c>
      <c r="T106" s="8" t="inlineStr">
        <is>
          <t>B3gas 16 fplus_CX</t>
        </is>
      </c>
    </row>
    <row r="107" ht="27" customHeight="1">
      <c r="A107" s="3" t="inlineStr">
        <is>
          <t>B3gas</t>
        </is>
      </c>
      <c r="B107" s="3" t="inlineStr">
        <is>
          <t>ΔG ArX + e⁻ → Ar• + X⁻</t>
        </is>
      </c>
      <c r="C107" s="3" t="inlineStr">
        <is>
          <t>min_dG_1e_kcal</t>
        </is>
      </c>
      <c r="D107" s="3" t="inlineStr">
        <is>
          <t>thermo</t>
        </is>
      </c>
      <c r="E107" s="3" t="n">
        <v>7</v>
      </c>
      <c r="F107" s="6">
        <f>'B3gas 13 dG 1e'!Q7</f>
        <v/>
      </c>
      <c r="G107" s="6">
        <f>'B3gas 13 dG 1e'!Q5</f>
        <v/>
      </c>
      <c r="H107" s="6" t="n">
        <v>0.6614</v>
      </c>
      <c r="I107" s="6" t="n">
        <v>-1.6937</v>
      </c>
      <c r="J107" s="6" t="n">
        <v>-0.6483</v>
      </c>
      <c r="K107" s="6" t="n">
        <v>-12.3894</v>
      </c>
      <c r="L107" s="6" t="n">
        <v>0.0261</v>
      </c>
      <c r="M107" s="6" t="n">
        <v>1.6655</v>
      </c>
      <c r="N107" s="6" t="n">
        <v>4.6973</v>
      </c>
      <c r="O107" s="6" t="n">
        <v>4.201</v>
      </c>
      <c r="P107" s="3" t="n"/>
      <c r="Q107" s="6" t="n">
        <v>0.8099</v>
      </c>
      <c r="R107" s="6" t="n">
        <v>0.3486</v>
      </c>
      <c r="S107" s="6" t="n">
        <v>0.339</v>
      </c>
      <c r="T107" s="8" t="inlineStr">
        <is>
          <t>B3gas 13 dG 1e</t>
        </is>
      </c>
    </row>
    <row r="108" ht="27" customHeight="1">
      <c r="A108" s="3" t="inlineStr">
        <is>
          <t>M6gas</t>
        </is>
      </c>
      <c r="B108" s="3" t="inlineStr">
        <is>
          <t>weakest C–X bond enthalpy</t>
        </is>
      </c>
      <c r="C108" s="3" t="inlineStr">
        <is>
          <t>min_BDE_kcal</t>
        </is>
      </c>
      <c r="D108" s="3" t="inlineStr">
        <is>
          <t>extended</t>
        </is>
      </c>
      <c r="E108" s="3" t="n">
        <v>7</v>
      </c>
      <c r="F108" s="6">
        <f>'M6gas 13 BDE'!Q7</f>
        <v/>
      </c>
      <c r="G108" s="6">
        <f>'M6gas 13 BDE'!Q5</f>
        <v/>
      </c>
      <c r="H108" s="6" t="n">
        <v>0.6389</v>
      </c>
      <c r="I108" s="6" t="n">
        <v>-2.0922</v>
      </c>
      <c r="J108" s="6" t="n">
        <v>-1.0139</v>
      </c>
      <c r="K108" s="6" t="n">
        <v>74.5381</v>
      </c>
      <c r="L108" s="6" t="n">
        <v>0.031</v>
      </c>
      <c r="M108" s="6" t="n">
        <v>1.7198</v>
      </c>
      <c r="N108" s="6" t="n">
        <v>5.0328</v>
      </c>
      <c r="O108" s="6" t="n">
        <v>14.539</v>
      </c>
      <c r="P108" s="3" t="n"/>
      <c r="Q108" s="6" t="n">
        <v>0.7111</v>
      </c>
      <c r="R108" s="6" t="n">
        <v>0.0775</v>
      </c>
      <c r="S108" s="6" t="n">
        <v>0.0762</v>
      </c>
      <c r="T108" s="8" t="inlineStr">
        <is>
          <t>M6gas 13 BDE</t>
        </is>
      </c>
    </row>
    <row r="109" ht="27" customHeight="1">
      <c r="A109" s="3" t="inlineStr">
        <is>
          <t>M6gas</t>
        </is>
      </c>
      <c r="B109" s="3" t="inlineStr">
        <is>
          <t>largest Fukui f+ on a C–X bond</t>
        </is>
      </c>
      <c r="C109" s="3" t="inlineStr">
        <is>
          <t>max_fplus_CX</t>
        </is>
      </c>
      <c r="D109" s="3" t="inlineStr">
        <is>
          <t>extended</t>
        </is>
      </c>
      <c r="E109" s="3" t="n">
        <v>7</v>
      </c>
      <c r="F109" s="6">
        <f>'M6gas 16 fplus_CX'!Q7</f>
        <v/>
      </c>
      <c r="G109" s="6">
        <f>'M6gas 16 fplus_CX'!Q5</f>
        <v/>
      </c>
      <c r="H109" s="6" t="n">
        <v>0.0066</v>
      </c>
      <c r="I109" s="6" t="n">
        <v>-2.112</v>
      </c>
      <c r="J109" s="6" t="n">
        <v>-2.663</v>
      </c>
      <c r="K109" s="6" t="n">
        <v>-1.1421</v>
      </c>
      <c r="L109" s="6" t="n">
        <v>0.8629</v>
      </c>
      <c r="M109" s="6" t="n">
        <v>2.8526</v>
      </c>
      <c r="N109" s="6" t="n">
        <v>5.0489</v>
      </c>
      <c r="O109" s="6" t="n">
        <v>2.549</v>
      </c>
      <c r="P109" s="3" t="n"/>
      <c r="Q109" s="6" t="n">
        <v>0.4767</v>
      </c>
      <c r="R109" s="6" t="n">
        <v>0.0119</v>
      </c>
      <c r="S109" s="6" t="n">
        <v>0.0101</v>
      </c>
      <c r="T109" s="8" t="inlineStr">
        <is>
          <t>M6gas 16 fplus_CX</t>
        </is>
      </c>
    </row>
    <row r="110" ht="27" customHeight="1">
      <c r="A110" s="3" t="inlineStr">
        <is>
          <t>M6gas</t>
        </is>
      </c>
      <c r="B110" s="3" t="inlineStr">
        <is>
          <t>ΔG ArX + e⁻ → Ar• + X⁻</t>
        </is>
      </c>
      <c r="C110" s="3" t="inlineStr">
        <is>
          <t>min_dG_1e_kcal</t>
        </is>
      </c>
      <c r="D110" s="3" t="inlineStr">
        <is>
          <t>thermo</t>
        </is>
      </c>
      <c r="E110" s="3" t="n">
        <v>7</v>
      </c>
      <c r="F110" s="6">
        <f>'M6gas 12 dG 1e'!Q7</f>
        <v/>
      </c>
      <c r="G110" s="6">
        <f>'M6gas 12 dG 1e'!Q5</f>
        <v/>
      </c>
      <c r="H110" s="6" t="n">
        <v>0.6766</v>
      </c>
      <c r="I110" s="6" t="n">
        <v>-2.1303</v>
      </c>
      <c r="J110" s="6" t="n">
        <v>-0.8663999999999999</v>
      </c>
      <c r="K110" s="6" t="n">
        <v>-10.9226</v>
      </c>
      <c r="L110" s="6" t="n">
        <v>0.0231</v>
      </c>
      <c r="M110" s="6" t="n">
        <v>1.6276</v>
      </c>
      <c r="N110" s="6" t="n">
        <v>5.0637</v>
      </c>
      <c r="O110" s="6" t="n">
        <v>7.083</v>
      </c>
      <c r="P110" s="3" t="n"/>
      <c r="Q110" s="6" t="n">
        <v>0.8565</v>
      </c>
      <c r="R110" s="6" t="n">
        <v>0.1941</v>
      </c>
      <c r="S110" s="6" t="n">
        <v>0.1883</v>
      </c>
      <c r="T110" s="8" t="inlineStr">
        <is>
          <t>M6gas 12 dG 1e</t>
        </is>
      </c>
    </row>
    <row r="111" ht="27" customHeight="1">
      <c r="A111" s="3" t="inlineStr">
        <is>
          <t>B3SMD</t>
        </is>
      </c>
      <c r="B111" s="3" t="inlineStr">
        <is>
          <t>largest Fukui f+ on a C–X bond</t>
        </is>
      </c>
      <c r="C111" s="3" t="inlineStr">
        <is>
          <t>max_fplus_CX</t>
        </is>
      </c>
      <c r="D111" s="3" t="inlineStr">
        <is>
          <t>extended</t>
        </is>
      </c>
      <c r="E111" s="3" t="n">
        <v>7</v>
      </c>
      <c r="F111" s="6">
        <f>'B3SMD 18 fplus_CX'!Q7</f>
        <v/>
      </c>
      <c r="G111" s="6">
        <f>'B3SMD 18 fplus_CX'!Q5</f>
        <v/>
      </c>
      <c r="H111" s="6" t="n">
        <v>0.161</v>
      </c>
      <c r="I111" s="6" t="n">
        <v>-3.1062</v>
      </c>
      <c r="J111" s="6" t="n">
        <v>14.3159</v>
      </c>
      <c r="K111" s="6" t="n">
        <v>-4.1915</v>
      </c>
      <c r="L111" s="6" t="n">
        <v>0.3722</v>
      </c>
      <c r="M111" s="6" t="n">
        <v>2.6215</v>
      </c>
      <c r="N111" s="6" t="n">
        <v>5.7996</v>
      </c>
      <c r="O111" s="6" t="n">
        <v>2.089</v>
      </c>
      <c r="P111" s="3" t="n"/>
      <c r="Q111" s="6" t="n">
        <v>0.5701000000000001</v>
      </c>
      <c r="R111" s="6" t="n">
        <v>0.2479</v>
      </c>
      <c r="S111" s="6" t="n">
        <v>0.2223</v>
      </c>
      <c r="T111" s="8" t="inlineStr">
        <is>
          <t>B3SMD 18 fplus_CX</t>
        </is>
      </c>
    </row>
    <row r="112" ht="40.5" customHeight="1">
      <c r="A112" s="3" t="inlineStr">
        <is>
          <t>M6SMD</t>
        </is>
      </c>
      <c r="B112" s="3" t="inlineStr">
        <is>
          <t>ΔG ArX•⁻ → Ar• + X⁻</t>
        </is>
      </c>
      <c r="C112" s="3" t="inlineStr">
        <is>
          <t>min_dG_frag_any_kcal</t>
        </is>
      </c>
      <c r="D112" s="3" t="inlineStr">
        <is>
          <t>thermo</t>
        </is>
      </c>
      <c r="E112" s="3" t="n">
        <v>7</v>
      </c>
      <c r="F112" s="6">
        <f>'M6SMD 16 dG frag_any'!Q7</f>
        <v/>
      </c>
      <c r="G112" s="6">
        <f>'M6SMD 16 dG frag_any'!Q5</f>
        <v/>
      </c>
      <c r="H112" s="6" t="n">
        <v>0.3153</v>
      </c>
      <c r="I112" s="6" t="n">
        <v>-6.7526</v>
      </c>
      <c r="J112" s="6" t="n">
        <v>0.2104</v>
      </c>
      <c r="K112" s="6" t="n">
        <v>-1.0142</v>
      </c>
      <c r="L112" s="6" t="n">
        <v>0.1897</v>
      </c>
      <c r="M112" s="6" t="n">
        <v>2.3683</v>
      </c>
      <c r="N112" s="6" t="n">
        <v>7.9689</v>
      </c>
      <c r="O112" s="6" t="n">
        <v>2.161</v>
      </c>
      <c r="P112" s="3" t="n"/>
      <c r="Q112" s="6" t="n">
        <v>0.4749</v>
      </c>
      <c r="R112" s="6" t="n">
        <v>0.3475</v>
      </c>
      <c r="S112" s="6" t="n">
        <v>0.3357</v>
      </c>
      <c r="T112" s="8" t="inlineStr">
        <is>
          <t>M6SMD 16 dG frag_any</t>
        </is>
      </c>
    </row>
    <row r="113"/>
    <row r="114"/>
    <row r="115">
      <c r="A115" s="4" t="inlineStr">
        <is>
          <t>4. Two-descriptor models (multiple linear regression)</t>
        </is>
      </c>
    </row>
    <row r="116" ht="202.5" customHeight="1">
      <c r="A116" s="3" t="inlineStr">
        <is>
          <t>ln k = b0 + b1·x1 + b2·x2. Compare with single-descriptor models through adj R² and Q² (R² always rises with an extra predictor).</t>
        </is>
      </c>
    </row>
    <row r="117">
      <c r="A117" s="5" t="inlineStr">
        <is>
          <t>level</t>
        </is>
      </c>
      <c r="B117" s="5" t="inlineStr">
        <is>
          <t>fit set</t>
        </is>
      </c>
      <c r="C117" s="5" t="inlineStr">
        <is>
          <t>x1</t>
        </is>
      </c>
      <c r="D117" s="5" t="inlineStr">
        <is>
          <t>x2</t>
        </is>
      </c>
      <c r="E117" s="5" t="inlineStr">
        <is>
          <t>n</t>
        </is>
      </c>
      <c r="F117" s="5" t="inlineStr">
        <is>
          <t>R²</t>
        </is>
      </c>
      <c r="G117" s="5" t="inlineStr">
        <is>
          <t>adj R²</t>
        </is>
      </c>
      <c r="H117" s="5" t="inlineStr">
        <is>
          <t>Q²</t>
        </is>
      </c>
      <c r="I117" s="5" t="inlineStr">
        <is>
          <t>RMSE</t>
        </is>
      </c>
      <c r="J117" s="5" t="inlineStr">
        <is>
          <t>LOO RMSE</t>
        </is>
      </c>
      <c r="K117" s="5" t="inlineStr">
        <is>
          <t>b0</t>
        </is>
      </c>
      <c r="L117" s="5" t="inlineStr">
        <is>
          <t>b1</t>
        </is>
      </c>
      <c r="M117" s="5" t="inlineStr">
        <is>
          <t>b2</t>
        </is>
      </c>
    </row>
    <row r="118" ht="27" customHeight="1">
      <c r="A118" s="3" t="inlineStr">
        <is>
          <t>B3gas</t>
        </is>
      </c>
      <c r="B118" s="3" t="inlineStr">
        <is>
          <t>bromobenzene</t>
        </is>
      </c>
      <c r="C118" s="3" t="inlineStr">
        <is>
          <t>ΔG ArX + e⁻ → ArX•⁻</t>
        </is>
      </c>
      <c r="D118" s="3" t="inlineStr">
        <is>
          <t>ΔG ArX•⁻ → Ar• + X⁻</t>
        </is>
      </c>
      <c r="E118" s="3" t="n">
        <v>7</v>
      </c>
      <c r="F118" s="6" t="n">
        <v>0.9541283293731897</v>
      </c>
      <c r="G118" s="6" t="n">
        <v>0.9311924940597845</v>
      </c>
      <c r="H118" s="6" t="n">
        <v>0.3132619640698816</v>
      </c>
      <c r="I118" s="6" t="n">
        <v>0.6129805717883757</v>
      </c>
      <c r="J118" s="6" t="n">
        <v>2.37175586023958</v>
      </c>
      <c r="K118" s="6" t="n">
        <v>-1.260711113212294</v>
      </c>
      <c r="L118" s="6" t="n">
        <v>0.3673798367897449</v>
      </c>
      <c r="M118" s="6" t="n">
        <v>0.9564280303311634</v>
      </c>
    </row>
    <row r="119" ht="27" customHeight="1">
      <c r="A119" s="3" t="inlineStr">
        <is>
          <t>B3gas</t>
        </is>
      </c>
      <c r="B119" s="3" t="inlineStr">
        <is>
          <t>chlorobenzene</t>
        </is>
      </c>
      <c r="C119" s="3" t="inlineStr">
        <is>
          <t>ΔG ArX + e⁻ → ArX•⁻</t>
        </is>
      </c>
      <c r="D119" s="3" t="inlineStr">
        <is>
          <t>ΔG ArX•⁻ → Ar• + X⁻</t>
        </is>
      </c>
      <c r="E119" s="3" t="n">
        <v>5</v>
      </c>
      <c r="F119" s="6" t="n">
        <v>0.9401955700834899</v>
      </c>
      <c r="G119" s="6" t="n">
        <v>0.8803911401669797</v>
      </c>
      <c r="H119" s="6" t="n">
        <v>0.7540211357579021</v>
      </c>
      <c r="I119" s="6" t="n">
        <v>0.6862871198717931</v>
      </c>
      <c r="J119" s="6" t="n">
        <v>1.391836004326012</v>
      </c>
      <c r="K119" s="6" t="n">
        <v>-4.190501679828553</v>
      </c>
      <c r="L119" s="6" t="n">
        <v>0.07967382727849669</v>
      </c>
      <c r="M119" s="6" t="n">
        <v>0.3392391642199064</v>
      </c>
    </row>
    <row r="120" ht="27" customHeight="1">
      <c r="A120" s="3" t="inlineStr">
        <is>
          <t>B3gas</t>
        </is>
      </c>
      <c r="B120" s="3" t="inlineStr">
        <is>
          <t>halobenzene</t>
        </is>
      </c>
      <c r="C120" s="3" t="inlineStr">
        <is>
          <t>ΔG ArX + e⁻ → ArX•⁻</t>
        </is>
      </c>
      <c r="D120" s="3" t="inlineStr">
        <is>
          <t>ΔG ArX•⁻ → Ar• + X⁻</t>
        </is>
      </c>
      <c r="E120" s="3" t="n">
        <v>12</v>
      </c>
      <c r="F120" s="6" t="n">
        <v>0.8773458637577198</v>
      </c>
      <c r="G120" s="6" t="n">
        <v>0.8500893890372131</v>
      </c>
      <c r="H120" s="6" t="n">
        <v>0.795357758973124</v>
      </c>
      <c r="I120" s="6" t="n">
        <v>1.000386165842881</v>
      </c>
      <c r="J120" s="6" t="n">
        <v>1.292183584688106</v>
      </c>
      <c r="K120" s="6" t="n">
        <v>-5.78337919678528</v>
      </c>
      <c r="L120" s="6" t="n">
        <v>-0.09251881498072988</v>
      </c>
      <c r="M120" s="6" t="n">
        <v>0.1792271664097728</v>
      </c>
    </row>
    <row r="121" ht="27" customHeight="1">
      <c r="A121" s="3" t="inlineStr">
        <is>
          <t>B3gas</t>
        </is>
      </c>
      <c r="B121" s="3" t="inlineStr">
        <is>
          <t>all</t>
        </is>
      </c>
      <c r="C121" s="3" t="inlineStr">
        <is>
          <t>ΔG ArX + e⁻ → ArX•⁻</t>
        </is>
      </c>
      <c r="D121" s="3" t="inlineStr">
        <is>
          <t>ΔG ArX•⁻ → Ar• + X⁻</t>
        </is>
      </c>
      <c r="E121" s="3" t="n">
        <v>14</v>
      </c>
      <c r="F121" s="6" t="n">
        <v>0.8314153166796228</v>
      </c>
      <c r="G121" s="6" t="n">
        <v>0.8007635560759179</v>
      </c>
      <c r="H121" s="6" t="n">
        <v>0.7512646502722113</v>
      </c>
      <c r="I121" s="6" t="n">
        <v>1.094856089277726</v>
      </c>
      <c r="J121" s="6" t="n">
        <v>1.329893110678549</v>
      </c>
      <c r="K121" s="6" t="n">
        <v>-5.834656143689472</v>
      </c>
      <c r="L121" s="6" t="n">
        <v>-0.1033831290247578</v>
      </c>
      <c r="M121" s="6" t="n">
        <v>0.1566045297219838</v>
      </c>
    </row>
    <row r="122" ht="40.5" customHeight="1">
      <c r="A122" s="3" t="inlineStr">
        <is>
          <t>B3gas</t>
        </is>
      </c>
      <c r="B122" s="3" t="inlineStr">
        <is>
          <t>bromobenzene</t>
        </is>
      </c>
      <c r="C122" s="3" t="inlineStr">
        <is>
          <t>ΔG ArX + e⁻ → ArX•⁻</t>
        </is>
      </c>
      <c r="D122" s="3" t="inlineStr">
        <is>
          <t>ΔG ArX•⁻ + e⁻ → Ar⁻ + X⁻</t>
        </is>
      </c>
      <c r="E122" s="3" t="n">
        <v>7</v>
      </c>
      <c r="F122" s="6" t="n">
        <v>0.9263936185061852</v>
      </c>
      <c r="G122" s="6" t="n">
        <v>0.8895904277592778</v>
      </c>
      <c r="H122" s="6" t="n">
        <v>0.3614996842728728</v>
      </c>
      <c r="I122" s="6" t="n">
        <v>0.7764833817513154</v>
      </c>
      <c r="J122" s="6" t="n">
        <v>2.286941152376556</v>
      </c>
      <c r="K122" s="6" t="n">
        <v>-12.56482565045854</v>
      </c>
      <c r="L122" s="6" t="n">
        <v>-0.05238691643272327</v>
      </c>
      <c r="M122" s="6" t="n">
        <v>-0.2605224491705884</v>
      </c>
    </row>
    <row r="123" ht="40.5" customHeight="1">
      <c r="A123" s="3" t="inlineStr">
        <is>
          <t>B3gas</t>
        </is>
      </c>
      <c r="B123" s="3" t="inlineStr">
        <is>
          <t>chlorobenzene</t>
        </is>
      </c>
      <c r="C123" s="3" t="inlineStr">
        <is>
          <t>ΔG ArX + e⁻ → ArX•⁻</t>
        </is>
      </c>
      <c r="D123" s="3" t="inlineStr">
        <is>
          <t>ΔG ArX•⁻ + e⁻ → Ar⁻ + X⁻</t>
        </is>
      </c>
      <c r="E123" s="3" t="n">
        <v>5</v>
      </c>
      <c r="F123" s="6" t="n">
        <v>0.9620787252715273</v>
      </c>
      <c r="G123" s="6" t="n">
        <v>0.9241574505430545</v>
      </c>
      <c r="H123" s="6" t="n">
        <v>0.1329128908782431</v>
      </c>
      <c r="I123" s="6" t="n">
        <v>0.5464880058936425</v>
      </c>
      <c r="J123" s="6" t="n">
        <v>2.613187280404937</v>
      </c>
      <c r="K123" s="6" t="n">
        <v>-1.370817900589336</v>
      </c>
      <c r="L123" s="6" t="n">
        <v>-0.2330360509616004</v>
      </c>
      <c r="M123" s="6" t="n">
        <v>0.1182511485538234</v>
      </c>
    </row>
    <row r="124" ht="40.5" customHeight="1">
      <c r="A124" s="3" t="inlineStr">
        <is>
          <t>B3gas</t>
        </is>
      </c>
      <c r="B124" s="3" t="inlineStr">
        <is>
          <t>halobenzene</t>
        </is>
      </c>
      <c r="C124" s="3" t="inlineStr">
        <is>
          <t>ΔG ArX + e⁻ → ArX•⁻</t>
        </is>
      </c>
      <c r="D124" s="3" t="inlineStr">
        <is>
          <t>ΔG ArX•⁻ + e⁻ → Ar⁻ + X⁻</t>
        </is>
      </c>
      <c r="E124" s="3" t="n">
        <v>12</v>
      </c>
      <c r="F124" s="6" t="n">
        <v>0.88689816598335</v>
      </c>
      <c r="G124" s="6" t="n">
        <v>0.8617644250907611</v>
      </c>
      <c r="H124" s="6" t="n">
        <v>0.7776563606175368</v>
      </c>
      <c r="I124" s="6" t="n">
        <v>0.9606416270114271</v>
      </c>
      <c r="J124" s="6" t="n">
        <v>1.346911103544391</v>
      </c>
      <c r="K124" s="6" t="n">
        <v>-9.676530571311556</v>
      </c>
      <c r="L124" s="6" t="n">
        <v>-0.1801617295560161</v>
      </c>
      <c r="M124" s="6" t="n">
        <v>-0.09189907103744956</v>
      </c>
    </row>
    <row r="125" ht="40.5" customHeight="1">
      <c r="A125" s="3" t="inlineStr">
        <is>
          <t>B3gas</t>
        </is>
      </c>
      <c r="B125" s="3" t="inlineStr">
        <is>
          <t>all</t>
        </is>
      </c>
      <c r="C125" s="3" t="inlineStr">
        <is>
          <t>ΔG ArX + e⁻ → ArX•⁻</t>
        </is>
      </c>
      <c r="D125" s="3" t="inlineStr">
        <is>
          <t>ΔG ArX•⁻ + e⁻ → Ar⁻ + X⁻</t>
        </is>
      </c>
      <c r="E125" s="3" t="n">
        <v>14</v>
      </c>
      <c r="F125" s="6" t="n">
        <v>0.841759595149956</v>
      </c>
      <c r="G125" s="6" t="n">
        <v>0.812988612449948</v>
      </c>
      <c r="H125" s="6" t="n">
        <v>0.7739654101419431</v>
      </c>
      <c r="I125" s="6" t="n">
        <v>1.060734449293557</v>
      </c>
      <c r="J125" s="6" t="n">
        <v>1.26775529419393</v>
      </c>
      <c r="K125" s="6" t="n">
        <v>-8.871443204348079</v>
      </c>
      <c r="L125" s="6" t="n">
        <v>-0.1837674880174619</v>
      </c>
      <c r="M125" s="6" t="n">
        <v>-0.064788445934625</v>
      </c>
    </row>
    <row r="126" ht="27" customHeight="1">
      <c r="A126" s="3" t="inlineStr">
        <is>
          <t>B3SMD</t>
        </is>
      </c>
      <c r="B126" s="3" t="inlineStr">
        <is>
          <t>bromobenzene</t>
        </is>
      </c>
      <c r="C126" s="3" t="inlineStr">
        <is>
          <t>ΔG ArX + e⁻ → ArX•⁻</t>
        </is>
      </c>
      <c r="D126" s="3" t="inlineStr">
        <is>
          <t>ΔG ArX•⁻ → Ar• + X⁻</t>
        </is>
      </c>
      <c r="E126" s="3" t="n">
        <v>7</v>
      </c>
      <c r="F126" s="6" t="n">
        <v>0.8026984115821088</v>
      </c>
      <c r="G126" s="6" t="n">
        <v>0.7040476173731631</v>
      </c>
      <c r="H126" s="6" t="n">
        <v>-0.3509750047414804</v>
      </c>
      <c r="I126" s="6" t="n">
        <v>1.271275631042744</v>
      </c>
      <c r="J126" s="6" t="n">
        <v>3.326580889536609</v>
      </c>
      <c r="K126" s="6" t="n">
        <v>0.9353242390681038</v>
      </c>
      <c r="L126" s="6" t="n">
        <v>0.0134006973629107</v>
      </c>
      <c r="M126" s="6" t="n">
        <v>1.352874102483074</v>
      </c>
    </row>
    <row r="127" ht="27" customHeight="1">
      <c r="A127" s="3" t="inlineStr">
        <is>
          <t>B3SMD</t>
        </is>
      </c>
      <c r="B127" s="3" t="inlineStr">
        <is>
          <t>chlorobenzene</t>
        </is>
      </c>
      <c r="C127" s="3" t="inlineStr">
        <is>
          <t>ΔG ArX + e⁻ → ArX•⁻</t>
        </is>
      </c>
      <c r="D127" s="3" t="inlineStr">
        <is>
          <t>ΔG ArX•⁻ → Ar• + X⁻</t>
        </is>
      </c>
      <c r="E127" s="3" t="n">
        <v>5</v>
      </c>
      <c r="F127" s="6" t="n">
        <v>0.8766411009650205</v>
      </c>
      <c r="G127" s="6" t="n">
        <v>0.7532822019300409</v>
      </c>
      <c r="H127" s="6" t="n">
        <v>-0.1989803645373347</v>
      </c>
      <c r="I127" s="6" t="n">
        <v>0.9856538284448645</v>
      </c>
      <c r="J127" s="6" t="n">
        <v>3.072877207698045</v>
      </c>
      <c r="K127" s="6" t="n">
        <v>-57.48737143636966</v>
      </c>
      <c r="L127" s="6" t="n">
        <v>-0.783957260426783</v>
      </c>
      <c r="M127" s="6" t="n">
        <v>-0.6892595036421099</v>
      </c>
    </row>
    <row r="128" ht="27" customHeight="1">
      <c r="A128" s="3" t="inlineStr">
        <is>
          <t>B3SMD</t>
        </is>
      </c>
      <c r="B128" s="3" t="inlineStr">
        <is>
          <t>halobenzene</t>
        </is>
      </c>
      <c r="C128" s="3" t="inlineStr">
        <is>
          <t>ΔG ArX + e⁻ → ArX•⁻</t>
        </is>
      </c>
      <c r="D128" s="3" t="inlineStr">
        <is>
          <t>ΔG ArX•⁻ → Ar• + X⁻</t>
        </is>
      </c>
      <c r="E128" s="3" t="n">
        <v>12</v>
      </c>
      <c r="F128" s="6" t="n">
        <v>0.6748424213385406</v>
      </c>
      <c r="G128" s="6" t="n">
        <v>0.6025851816359939</v>
      </c>
      <c r="H128" s="6" t="n">
        <v>-1.846322994163641</v>
      </c>
      <c r="I128" s="6" t="n">
        <v>1.628821594783205</v>
      </c>
      <c r="J128" s="6" t="n">
        <v>4.819130297835514</v>
      </c>
      <c r="K128" s="6" t="n">
        <v>-27.83823462506234</v>
      </c>
      <c r="L128" s="6" t="n">
        <v>-0.3882387739986692</v>
      </c>
      <c r="M128" s="6" t="n">
        <v>-0.1846402324620903</v>
      </c>
    </row>
    <row r="129" ht="27" customHeight="1">
      <c r="A129" s="3" t="inlineStr">
        <is>
          <t>B3SMD</t>
        </is>
      </c>
      <c r="B129" s="3" t="inlineStr">
        <is>
          <t>all</t>
        </is>
      </c>
      <c r="C129" s="3" t="inlineStr">
        <is>
          <t>ΔG ArX + e⁻ → ArX•⁻</t>
        </is>
      </c>
      <c r="D129" s="3" t="inlineStr">
        <is>
          <t>ΔG ArX•⁻ → Ar• + X⁻</t>
        </is>
      </c>
      <c r="E129" s="3" t="n">
        <v>13</v>
      </c>
      <c r="F129" s="6" t="n">
        <v>0.6758053449465129</v>
      </c>
      <c r="G129" s="6" t="n">
        <v>0.6109664139358155</v>
      </c>
      <c r="H129" s="6" t="n">
        <v>-1.512768753229903</v>
      </c>
      <c r="I129" s="6" t="n">
        <v>1.565581065399017</v>
      </c>
      <c r="J129" s="6" t="n">
        <v>4.35861888695917</v>
      </c>
      <c r="K129" s="6" t="n">
        <v>-27.66238296546453</v>
      </c>
      <c r="L129" s="6" t="n">
        <v>-0.3858826921821211</v>
      </c>
      <c r="M129" s="6" t="n">
        <v>-0.1819644564439168</v>
      </c>
    </row>
    <row r="130" ht="40.5" customHeight="1">
      <c r="A130" s="3" t="inlineStr">
        <is>
          <t>B3SMD</t>
        </is>
      </c>
      <c r="B130" s="3" t="inlineStr">
        <is>
          <t>bromobenzene</t>
        </is>
      </c>
      <c r="C130" s="3" t="inlineStr">
        <is>
          <t>ΔG ArX + e⁻ → ArX•⁻</t>
        </is>
      </c>
      <c r="D130" s="3" t="inlineStr">
        <is>
          <t>ΔG ArX•⁻ + e⁻ → Ar⁻ + X⁻</t>
        </is>
      </c>
      <c r="E130" s="3" t="n">
        <v>7</v>
      </c>
      <c r="F130" s="6" t="n">
        <v>0.9189554826289046</v>
      </c>
      <c r="G130" s="6" t="n">
        <v>0.8784332239433569</v>
      </c>
      <c r="H130" s="6" t="n">
        <v>0.5377320728086015</v>
      </c>
      <c r="I130" s="6" t="n">
        <v>0.814772291923438</v>
      </c>
      <c r="J130" s="6" t="n">
        <v>1.945903559785105</v>
      </c>
      <c r="K130" s="6" t="n">
        <v>-45.37104974964891</v>
      </c>
      <c r="L130" s="6" t="n">
        <v>0.3197479835139169</v>
      </c>
      <c r="M130" s="6" t="n">
        <v>-0.6773959919226156</v>
      </c>
    </row>
    <row r="131" ht="40.5" customHeight="1">
      <c r="A131" s="3" t="inlineStr">
        <is>
          <t>B3SMD</t>
        </is>
      </c>
      <c r="B131" s="3" t="inlineStr">
        <is>
          <t>chlorobenzene</t>
        </is>
      </c>
      <c r="C131" s="3" t="inlineStr">
        <is>
          <t>ΔG ArX + e⁻ → ArX•⁻</t>
        </is>
      </c>
      <c r="D131" s="3" t="inlineStr">
        <is>
          <t>ΔG ArX•⁻ + e⁻ → Ar⁻ + X⁻</t>
        </is>
      </c>
      <c r="E131" s="3" t="n">
        <v>5</v>
      </c>
      <c r="F131" s="6" t="n">
        <v>0.8868115701878203</v>
      </c>
      <c r="G131" s="6" t="n">
        <v>0.7736231403756406</v>
      </c>
      <c r="H131" s="6" t="n">
        <v>0.4605092713797354</v>
      </c>
      <c r="I131" s="6" t="n">
        <v>0.9441482411273876</v>
      </c>
      <c r="J131" s="6" t="n">
        <v>2.061252348880434</v>
      </c>
      <c r="K131" s="6" t="n">
        <v>-30.42877387427267</v>
      </c>
      <c r="L131" s="6" t="n">
        <v>-0.2230024511750079</v>
      </c>
      <c r="M131" s="6" t="n">
        <v>-0.127200721117346</v>
      </c>
    </row>
    <row r="132" ht="40.5" customHeight="1">
      <c r="A132" s="3" t="inlineStr">
        <is>
          <t>B3SMD</t>
        </is>
      </c>
      <c r="B132" s="3" t="inlineStr">
        <is>
          <t>halobenzene</t>
        </is>
      </c>
      <c r="C132" s="3" t="inlineStr">
        <is>
          <t>ΔG ArX + e⁻ → ArX•⁻</t>
        </is>
      </c>
      <c r="D132" s="3" t="inlineStr">
        <is>
          <t>ΔG ArX•⁻ + e⁻ → Ar⁻ + X⁻</t>
        </is>
      </c>
      <c r="E132" s="3" t="n">
        <v>12</v>
      </c>
      <c r="F132" s="6" t="n">
        <v>0.7253956053993275</v>
      </c>
      <c r="G132" s="6" t="n">
        <v>0.6643724065991781</v>
      </c>
      <c r="H132" s="6" t="n">
        <v>0.5831673357634993</v>
      </c>
      <c r="I132" s="6" t="n">
        <v>1.496857024234397</v>
      </c>
      <c r="J132" s="6" t="n">
        <v>1.844197590303368</v>
      </c>
      <c r="K132" s="6" t="n">
        <v>-27.01420869388954</v>
      </c>
      <c r="L132" s="6" t="n">
        <v>-0.2469090981984625</v>
      </c>
      <c r="M132" s="6" t="n">
        <v>-0.08957370676638042</v>
      </c>
    </row>
    <row r="133" ht="40.5" customHeight="1">
      <c r="A133" s="3" t="inlineStr">
        <is>
          <t>B3SMD</t>
        </is>
      </c>
      <c r="B133" s="3" t="inlineStr">
        <is>
          <t>all</t>
        </is>
      </c>
      <c r="C133" s="3" t="inlineStr">
        <is>
          <t>ΔG ArX + e⁻ → ArX•⁻</t>
        </is>
      </c>
      <c r="D133" s="3" t="inlineStr">
        <is>
          <t>ΔG ArX•⁻ + e⁻ → Ar⁻ + X⁻</t>
        </is>
      </c>
      <c r="E133" s="3" t="n">
        <v>13</v>
      </c>
      <c r="F133" s="6" t="n">
        <v>0.7249637775327695</v>
      </c>
      <c r="G133" s="6" t="n">
        <v>0.6699565330393235</v>
      </c>
      <c r="H133" s="6" t="n">
        <v>0.5808655888463494</v>
      </c>
      <c r="I133" s="6" t="n">
        <v>1.442007709305248</v>
      </c>
      <c r="J133" s="6" t="n">
        <v>1.780120059151805</v>
      </c>
      <c r="K133" s="6" t="n">
        <v>-27.00975604419179</v>
      </c>
      <c r="L133" s="6" t="n">
        <v>-0.247515153066745</v>
      </c>
      <c r="M133" s="6" t="n">
        <v>-0.08883772958809996</v>
      </c>
    </row>
    <row r="134" ht="27" customHeight="1">
      <c r="A134" s="3" t="inlineStr">
        <is>
          <t>M6gas</t>
        </is>
      </c>
      <c r="B134" s="3" t="inlineStr">
        <is>
          <t>bromobenzene</t>
        </is>
      </c>
      <c r="C134" s="3" t="inlineStr">
        <is>
          <t>ΔG ArX + e⁻ → ArX•⁻</t>
        </is>
      </c>
      <c r="D134" s="3" t="inlineStr">
        <is>
          <t>ΔG ArX•⁻ → Ar• + X⁻</t>
        </is>
      </c>
      <c r="E134" s="3" t="n">
        <v>7</v>
      </c>
      <c r="F134" s="6" t="n">
        <v>0.9720584598190013</v>
      </c>
      <c r="G134" s="6" t="n">
        <v>0.958087689728502</v>
      </c>
      <c r="H134" s="6" t="n">
        <v>-0.1461698497856294</v>
      </c>
      <c r="I134" s="6" t="n">
        <v>0.4784092873484491</v>
      </c>
      <c r="J134" s="6" t="n">
        <v>3.064071683515992</v>
      </c>
      <c r="K134" s="6" t="n">
        <v>-0.363910779384289</v>
      </c>
      <c r="L134" s="6" t="n">
        <v>0.7253581582160779</v>
      </c>
      <c r="M134" s="6" t="n">
        <v>1.391349660949249</v>
      </c>
    </row>
    <row r="135" ht="27" customHeight="1">
      <c r="A135" s="3" t="inlineStr">
        <is>
          <t>M6gas</t>
        </is>
      </c>
      <c r="B135" s="3" t="inlineStr">
        <is>
          <t>chlorobenzene</t>
        </is>
      </c>
      <c r="C135" s="3" t="inlineStr">
        <is>
          <t>ΔG ArX + e⁻ → ArX•⁻</t>
        </is>
      </c>
      <c r="D135" s="3" t="inlineStr">
        <is>
          <t>ΔG ArX•⁻ → Ar• + X⁻</t>
        </is>
      </c>
      <c r="E135" s="3" t="n">
        <v>5</v>
      </c>
      <c r="F135" s="6" t="n">
        <v>0.8625101274145375</v>
      </c>
      <c r="G135" s="6" t="n">
        <v>0.725020254829075</v>
      </c>
      <c r="H135" s="6" t="n">
        <v>-0.3512634614254442</v>
      </c>
      <c r="I135" s="6" t="n">
        <v>1.040577726284313</v>
      </c>
      <c r="J135" s="6" t="n">
        <v>3.262189514913152</v>
      </c>
      <c r="K135" s="6" t="n">
        <v>-3.81912891166283</v>
      </c>
      <c r="L135" s="6" t="n">
        <v>-1.11728923853361</v>
      </c>
      <c r="M135" s="6" t="n">
        <v>-1.023045399184915</v>
      </c>
    </row>
    <row r="136" ht="27" customHeight="1">
      <c r="A136" s="3" t="inlineStr">
        <is>
          <t>M6gas</t>
        </is>
      </c>
      <c r="B136" s="3" t="inlineStr">
        <is>
          <t>halobenzene</t>
        </is>
      </c>
      <c r="C136" s="3" t="inlineStr">
        <is>
          <t>ΔG ArX + e⁻ → ArX•⁻</t>
        </is>
      </c>
      <c r="D136" s="3" t="inlineStr">
        <is>
          <t>ΔG ArX•⁻ → Ar• + X⁻</t>
        </is>
      </c>
      <c r="E136" s="3" t="n">
        <v>12</v>
      </c>
      <c r="F136" s="6" t="n">
        <v>0.856244976127024</v>
      </c>
      <c r="G136" s="6" t="n">
        <v>0.8242994152663626</v>
      </c>
      <c r="H136" s="6" t="n">
        <v>0.7448844395860454</v>
      </c>
      <c r="I136" s="6" t="n">
        <v>1.083024032159225</v>
      </c>
      <c r="J136" s="6" t="n">
        <v>1.442763186720283</v>
      </c>
      <c r="K136" s="6" t="n">
        <v>-5.378275640067002</v>
      </c>
      <c r="L136" s="6" t="n">
        <v>-0.0785991396138752</v>
      </c>
      <c r="M136" s="6" t="n">
        <v>0.219625478514021</v>
      </c>
    </row>
    <row r="137" ht="27" customHeight="1">
      <c r="A137" s="3" t="inlineStr">
        <is>
          <t>M6gas</t>
        </is>
      </c>
      <c r="B137" s="3" t="inlineStr">
        <is>
          <t>all</t>
        </is>
      </c>
      <c r="C137" s="3" t="inlineStr">
        <is>
          <t>ΔG ArX + e⁻ → ArX•⁻</t>
        </is>
      </c>
      <c r="D137" s="3" t="inlineStr">
        <is>
          <t>ΔG ArX•⁻ → Ar• + X⁻</t>
        </is>
      </c>
      <c r="E137" s="3" t="n">
        <v>14</v>
      </c>
      <c r="F137" s="6" t="n">
        <v>0.8180314872555575</v>
      </c>
      <c r="G137" s="6" t="n">
        <v>0.7849463031202044</v>
      </c>
      <c r="H137" s="6" t="n">
        <v>0.7158794897748512</v>
      </c>
      <c r="I137" s="6" t="n">
        <v>1.137486114038381</v>
      </c>
      <c r="J137" s="6" t="n">
        <v>1.421344239972531</v>
      </c>
      <c r="K137" s="6" t="n">
        <v>-5.381945017490287</v>
      </c>
      <c r="L137" s="6" t="n">
        <v>-0.06271017247390076</v>
      </c>
      <c r="M137" s="6" t="n">
        <v>0.2284085687875844</v>
      </c>
    </row>
    <row r="138" ht="40.5" customHeight="1">
      <c r="A138" s="3" t="inlineStr">
        <is>
          <t>M6gas</t>
        </is>
      </c>
      <c r="B138" s="3" t="inlineStr">
        <is>
          <t>bromobenzene</t>
        </is>
      </c>
      <c r="C138" s="3" t="inlineStr">
        <is>
          <t>ΔG ArX + e⁻ → ArX•⁻</t>
        </is>
      </c>
      <c r="D138" s="3" t="inlineStr">
        <is>
          <t>ΔG ArX•⁻ + e⁻ → Ar⁻ + X⁻</t>
        </is>
      </c>
      <c r="E138" s="3" t="n">
        <v>7</v>
      </c>
      <c r="F138" s="6" t="n">
        <v>0.9313397579221553</v>
      </c>
      <c r="G138" s="6" t="n">
        <v>0.897009636883233</v>
      </c>
      <c r="H138" s="6" t="n">
        <v>0.2923494535565941</v>
      </c>
      <c r="I138" s="6" t="n">
        <v>0.749940998101973</v>
      </c>
      <c r="J138" s="6" t="n">
        <v>2.407597338077579</v>
      </c>
      <c r="K138" s="6" t="n">
        <v>-13.33787428624068</v>
      </c>
      <c r="L138" s="6" t="n">
        <v>-0.02857734696091068</v>
      </c>
      <c r="M138" s="6" t="n">
        <v>-0.3109352115154733</v>
      </c>
    </row>
    <row r="139" ht="40.5" customHeight="1">
      <c r="A139" s="3" t="inlineStr">
        <is>
          <t>M6gas</t>
        </is>
      </c>
      <c r="B139" s="3" t="inlineStr">
        <is>
          <t>chlorobenzene</t>
        </is>
      </c>
      <c r="C139" s="3" t="inlineStr">
        <is>
          <t>ΔG ArX + e⁻ → ArX•⁻</t>
        </is>
      </c>
      <c r="D139" s="3" t="inlineStr">
        <is>
          <t>ΔG ArX•⁻ + e⁻ → Ar⁻ + X⁻</t>
        </is>
      </c>
      <c r="E139" s="3" t="n">
        <v>5</v>
      </c>
      <c r="F139" s="6" t="n">
        <v>0.8547613978124253</v>
      </c>
      <c r="G139" s="6" t="n">
        <v>0.7095227956248507</v>
      </c>
      <c r="H139" s="6" t="n">
        <v>-0.03596210509679465</v>
      </c>
      <c r="I139" s="6" t="n">
        <v>1.069498552278742</v>
      </c>
      <c r="J139" s="6" t="n">
        <v>2.85634791705122</v>
      </c>
      <c r="K139" s="6" t="n">
        <v>-3.612755150634369</v>
      </c>
      <c r="L139" s="6" t="n">
        <v>-0.240498795027967</v>
      </c>
      <c r="M139" s="6" t="n">
        <v>0.02906953069355056</v>
      </c>
    </row>
    <row r="140" ht="40.5" customHeight="1">
      <c r="A140" s="3" t="inlineStr">
        <is>
          <t>M6gas</t>
        </is>
      </c>
      <c r="B140" s="3" t="inlineStr">
        <is>
          <t>halobenzene</t>
        </is>
      </c>
      <c r="C140" s="3" t="inlineStr">
        <is>
          <t>ΔG ArX + e⁻ → ArX•⁻</t>
        </is>
      </c>
      <c r="D140" s="3" t="inlineStr">
        <is>
          <t>ΔG ArX•⁻ + e⁻ → Ar⁻ + X⁻</t>
        </is>
      </c>
      <c r="E140" s="3" t="n">
        <v>12</v>
      </c>
      <c r="F140" s="6" t="n">
        <v>0.877232804881245</v>
      </c>
      <c r="G140" s="6" t="n">
        <v>0.8499512059659661</v>
      </c>
      <c r="H140" s="6" t="n">
        <v>0.7562448865750506</v>
      </c>
      <c r="I140" s="6" t="n">
        <v>1.000847122512569</v>
      </c>
      <c r="J140" s="6" t="n">
        <v>1.410273825706138</v>
      </c>
      <c r="K140" s="6" t="n">
        <v>-10.03268999753749</v>
      </c>
      <c r="L140" s="6" t="n">
        <v>-0.1692557628115636</v>
      </c>
      <c r="M140" s="6" t="n">
        <v>-0.1382262909997429</v>
      </c>
    </row>
    <row r="141" ht="40.5" customHeight="1">
      <c r="A141" s="3" t="inlineStr">
        <is>
          <t>M6gas</t>
        </is>
      </c>
      <c r="B141" s="3" t="inlineStr">
        <is>
          <t>all</t>
        </is>
      </c>
      <c r="C141" s="3" t="inlineStr">
        <is>
          <t>ΔG ArX + e⁻ → ArX•⁻</t>
        </is>
      </c>
      <c r="D141" s="3" t="inlineStr">
        <is>
          <t>ΔG ArX•⁻ + e⁻ → Ar⁻ + X⁻</t>
        </is>
      </c>
      <c r="E141" s="3" t="n">
        <v>14</v>
      </c>
      <c r="F141" s="6" t="n">
        <v>0.7793150730385443</v>
      </c>
      <c r="G141" s="6" t="n">
        <v>0.7391905408637343</v>
      </c>
      <c r="H141" s="6" t="n">
        <v>0.6515658537510974</v>
      </c>
      <c r="I141" s="6" t="n">
        <v>1.252663192543401</v>
      </c>
      <c r="J141" s="6" t="n">
        <v>1.574013074001427</v>
      </c>
      <c r="K141" s="6" t="n">
        <v>-8.321221209916368</v>
      </c>
      <c r="L141" s="6" t="n">
        <v>-0.170888214601425</v>
      </c>
      <c r="M141" s="6" t="n">
        <v>-0.08552338225888835</v>
      </c>
    </row>
    <row r="142" ht="27" customHeight="1">
      <c r="A142" s="3" t="inlineStr">
        <is>
          <t>M6SMD</t>
        </is>
      </c>
      <c r="B142" s="3" t="inlineStr">
        <is>
          <t>bromobenzene</t>
        </is>
      </c>
      <c r="C142" s="3" t="inlineStr">
        <is>
          <t>ΔG ArX + e⁻ → ArX•⁻</t>
        </is>
      </c>
      <c r="D142" s="3" t="inlineStr">
        <is>
          <t>ΔG ArX•⁻ → Ar• + X⁻</t>
        </is>
      </c>
      <c r="E142" s="3" t="n">
        <v>7</v>
      </c>
      <c r="F142" s="6" t="n">
        <v>0.7260280999489914</v>
      </c>
      <c r="G142" s="6" t="n">
        <v>0.5890421499234871</v>
      </c>
      <c r="H142" s="6" t="n">
        <v>-0.8812604458827764</v>
      </c>
      <c r="I142" s="6" t="n">
        <v>1.498053908838342</v>
      </c>
      <c r="J142" s="6" t="n">
        <v>3.925535358196707</v>
      </c>
      <c r="K142" s="6" t="n">
        <v>-52.71904073414552</v>
      </c>
      <c r="L142" s="6" t="n">
        <v>-0.8371146916984273</v>
      </c>
      <c r="M142" s="6" t="n">
        <v>-0.7787233358658876</v>
      </c>
    </row>
    <row r="143" ht="27" customHeight="1">
      <c r="A143" s="3" t="inlineStr">
        <is>
          <t>M6SMD</t>
        </is>
      </c>
      <c r="B143" s="3" t="inlineStr">
        <is>
          <t>chlorobenzene</t>
        </is>
      </c>
      <c r="C143" s="3" t="inlineStr">
        <is>
          <t>ΔG ArX + e⁻ → ArX•⁻</t>
        </is>
      </c>
      <c r="D143" s="3" t="inlineStr">
        <is>
          <t>ΔG ArX•⁻ → Ar• + X⁻</t>
        </is>
      </c>
      <c r="E143" s="3" t="n">
        <v>5</v>
      </c>
      <c r="F143" s="6" t="n">
        <v>0.9863257746595038</v>
      </c>
      <c r="G143" s="6" t="n">
        <v>0.9726515493190075</v>
      </c>
      <c r="H143" s="6" t="n">
        <v>0.9207436911557833</v>
      </c>
      <c r="I143" s="6" t="n">
        <v>0.3281636979914267</v>
      </c>
      <c r="J143" s="6" t="n">
        <v>0.790052755175478</v>
      </c>
      <c r="K143" s="6" t="n">
        <v>-223.5147497437775</v>
      </c>
      <c r="L143" s="6" t="n">
        <v>-3.418695647117123</v>
      </c>
      <c r="M143" s="6" t="n">
        <v>-3.658328734395965</v>
      </c>
    </row>
    <row r="144" ht="27" customHeight="1">
      <c r="A144" s="3" t="inlineStr">
        <is>
          <t>M6SMD</t>
        </is>
      </c>
      <c r="B144" s="3" t="inlineStr">
        <is>
          <t>halobenzene</t>
        </is>
      </c>
      <c r="C144" s="3" t="inlineStr">
        <is>
          <t>ΔG ArX + e⁻ → ArX•⁻</t>
        </is>
      </c>
      <c r="D144" s="3" t="inlineStr">
        <is>
          <t>ΔG ArX•⁻ → Ar• + X⁻</t>
        </is>
      </c>
      <c r="E144" s="3" t="n">
        <v>12</v>
      </c>
      <c r="F144" s="6" t="n">
        <v>0.6462432893510821</v>
      </c>
      <c r="G144" s="6" t="n">
        <v>0.5676306869846559</v>
      </c>
      <c r="H144" s="6" t="n">
        <v>0.3650348688766644</v>
      </c>
      <c r="I144" s="6" t="n">
        <v>1.698943442884461</v>
      </c>
      <c r="J144" s="6" t="n">
        <v>2.27615334128339</v>
      </c>
      <c r="K144" s="6" t="n">
        <v>-40.37449603682612</v>
      </c>
      <c r="L144" s="6" t="n">
        <v>-0.6326411060432204</v>
      </c>
      <c r="M144" s="6" t="n">
        <v>-0.498080343804821</v>
      </c>
    </row>
    <row r="145" ht="27" customHeight="1">
      <c r="A145" s="3" t="inlineStr">
        <is>
          <t>M6SMD</t>
        </is>
      </c>
      <c r="B145" s="3" t="inlineStr">
        <is>
          <t>all</t>
        </is>
      </c>
      <c r="C145" s="3" t="inlineStr">
        <is>
          <t>ΔG ArX + e⁻ → ArX•⁻</t>
        </is>
      </c>
      <c r="D145" s="3" t="inlineStr">
        <is>
          <t>ΔG ArX•⁻ → Ar• + X⁻</t>
        </is>
      </c>
      <c r="E145" s="3" t="n">
        <v>14</v>
      </c>
      <c r="F145" s="6" t="n">
        <v>0.6288644467160763</v>
      </c>
      <c r="G145" s="6" t="n">
        <v>0.5613852552099083</v>
      </c>
      <c r="H145" s="6" t="n">
        <v>0.382358963089685</v>
      </c>
      <c r="I145" s="6" t="n">
        <v>1.624479596247814</v>
      </c>
      <c r="J145" s="6" t="n">
        <v>2.095636975744752</v>
      </c>
      <c r="K145" s="6" t="n">
        <v>-38.93722544534085</v>
      </c>
      <c r="L145" s="6" t="n">
        <v>-0.6110937325709087</v>
      </c>
      <c r="M145" s="6" t="n">
        <v>-0.4724733761372991</v>
      </c>
    </row>
    <row r="146" ht="40.5" customHeight="1">
      <c r="A146" s="3" t="inlineStr">
        <is>
          <t>M6SMD</t>
        </is>
      </c>
      <c r="B146" s="3" t="inlineStr">
        <is>
          <t>bromobenzene</t>
        </is>
      </c>
      <c r="C146" s="3" t="inlineStr">
        <is>
          <t>ΔG ArX + e⁻ → ArX•⁻</t>
        </is>
      </c>
      <c r="D146" s="3" t="inlineStr">
        <is>
          <t>ΔG ArX•⁻ + e⁻ → Ar⁻ + X⁻</t>
        </is>
      </c>
      <c r="E146" s="3" t="n">
        <v>7</v>
      </c>
      <c r="F146" s="6" t="n">
        <v>0.8603388897510995</v>
      </c>
      <c r="G146" s="6" t="n">
        <v>0.7905083346266493</v>
      </c>
      <c r="H146" s="6" t="n">
        <v>-3.535113881160657</v>
      </c>
      <c r="I146" s="6" t="n">
        <v>1.069577298072955</v>
      </c>
      <c r="J146" s="6" t="n">
        <v>6.094927301470561</v>
      </c>
      <c r="K146" s="6" t="n">
        <v>-40.41520523269226</v>
      </c>
      <c r="L146" s="6" t="n">
        <v>-0.2576850457496633</v>
      </c>
      <c r="M146" s="6" t="n">
        <v>-0.2420202507616487</v>
      </c>
    </row>
    <row r="147" ht="40.5" customHeight="1">
      <c r="A147" s="3" t="inlineStr">
        <is>
          <t>M6SMD</t>
        </is>
      </c>
      <c r="B147" s="3" t="inlineStr">
        <is>
          <t>chlorobenzene</t>
        </is>
      </c>
      <c r="C147" s="3" t="inlineStr">
        <is>
          <t>ΔG ArX + e⁻ → ArX•⁻</t>
        </is>
      </c>
      <c r="D147" s="3" t="inlineStr">
        <is>
          <t>ΔG ArX•⁻ + e⁻ → Ar⁻ + X⁻</t>
        </is>
      </c>
      <c r="E147" s="3" t="n">
        <v>5</v>
      </c>
      <c r="F147" s="6" t="n">
        <v>0.9634781102801973</v>
      </c>
      <c r="G147" s="6" t="n">
        <v>0.9269562205603945</v>
      </c>
      <c r="H147" s="6" t="n">
        <v>0.5379892762223806</v>
      </c>
      <c r="I147" s="6" t="n">
        <v>0.5363098719299919</v>
      </c>
      <c r="J147" s="6" t="n">
        <v>1.907502864636236</v>
      </c>
      <c r="K147" s="6" t="n">
        <v>-68.66458393770161</v>
      </c>
      <c r="L147" s="6" t="n">
        <v>-0.2095874906112709</v>
      </c>
      <c r="M147" s="6" t="n">
        <v>-0.4822809174480294</v>
      </c>
    </row>
    <row r="148" ht="40.5" customHeight="1">
      <c r="A148" s="3" t="inlineStr">
        <is>
          <t>M6SMD</t>
        </is>
      </c>
      <c r="B148" s="3" t="inlineStr">
        <is>
          <t>halobenzene</t>
        </is>
      </c>
      <c r="C148" s="3" t="inlineStr">
        <is>
          <t>ΔG ArX + e⁻ → ArX•⁻</t>
        </is>
      </c>
      <c r="D148" s="3" t="inlineStr">
        <is>
          <t>ΔG ArX•⁻ + e⁻ → Ar⁻ + X⁻</t>
        </is>
      </c>
      <c r="E148" s="3" t="n">
        <v>12</v>
      </c>
      <c r="F148" s="6" t="n">
        <v>0.7054627604969187</v>
      </c>
      <c r="G148" s="6" t="n">
        <v>0.640010040607345</v>
      </c>
      <c r="H148" s="6" t="n">
        <v>0.4666612611067162</v>
      </c>
      <c r="I148" s="6" t="n">
        <v>1.550231952903118</v>
      </c>
      <c r="J148" s="6" t="n">
        <v>2.086066471753509</v>
      </c>
      <c r="K148" s="6" t="n">
        <v>-29.21289994374873</v>
      </c>
      <c r="L148" s="6" t="n">
        <v>-0.2342025140333111</v>
      </c>
      <c r="M148" s="6" t="n">
        <v>-0.1363186919765604</v>
      </c>
    </row>
    <row r="149" ht="40.5" customHeight="1">
      <c r="A149" s="3" t="inlineStr">
        <is>
          <t>M6SMD</t>
        </is>
      </c>
      <c r="B149" s="3" t="inlineStr">
        <is>
          <t>all</t>
        </is>
      </c>
      <c r="C149" s="3" t="inlineStr">
        <is>
          <t>ΔG ArX + e⁻ → ArX•⁻</t>
        </is>
      </c>
      <c r="D149" s="3" t="inlineStr">
        <is>
          <t>ΔG ArX•⁻ + e⁻ → Ar⁻ + X⁻</t>
        </is>
      </c>
      <c r="E149" s="3" t="n">
        <v>14</v>
      </c>
      <c r="F149" s="6" t="n">
        <v>0.6965050690137875</v>
      </c>
      <c r="G149" s="6" t="n">
        <v>0.6413241724708398</v>
      </c>
      <c r="H149" s="6" t="n">
        <v>0.4865091666090331</v>
      </c>
      <c r="I149" s="6" t="n">
        <v>1.469006447137557</v>
      </c>
      <c r="J149" s="6" t="n">
        <v>1.910796022058514</v>
      </c>
      <c r="K149" s="6" t="n">
        <v>-29.14639953835129</v>
      </c>
      <c r="L149" s="6" t="n">
        <v>-0.2309604360645291</v>
      </c>
      <c r="M149" s="6" t="n">
        <v>-0.1364031711216508</v>
      </c>
    </row>
  </sheetData>
  <mergeCells count="1">
    <mergeCell ref="A2:N2"/>
  </mergeCells>
  <hyperlinks>
    <hyperlink xmlns:r="http://schemas.openxmlformats.org/officeDocument/2006/relationships" ref="L6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T44" r:id="rId11"/>
    <hyperlink xmlns:r="http://schemas.openxmlformats.org/officeDocument/2006/relationships" ref="T45" r:id="rId12"/>
    <hyperlink xmlns:r="http://schemas.openxmlformats.org/officeDocument/2006/relationships" ref="T46" r:id="rId13"/>
    <hyperlink xmlns:r="http://schemas.openxmlformats.org/officeDocument/2006/relationships" ref="T47" r:id="rId14"/>
    <hyperlink xmlns:r="http://schemas.openxmlformats.org/officeDocument/2006/relationships" ref="T48" r:id="rId15"/>
    <hyperlink xmlns:r="http://schemas.openxmlformats.org/officeDocument/2006/relationships" ref="T49" r:id="rId16"/>
    <hyperlink xmlns:r="http://schemas.openxmlformats.org/officeDocument/2006/relationships" ref="T50" r:id="rId17"/>
    <hyperlink xmlns:r="http://schemas.openxmlformats.org/officeDocument/2006/relationships" ref="T51" r:id="rId18"/>
    <hyperlink xmlns:r="http://schemas.openxmlformats.org/officeDocument/2006/relationships" ref="T52" r:id="rId19"/>
    <hyperlink xmlns:r="http://schemas.openxmlformats.org/officeDocument/2006/relationships" ref="T53" r:id="rId20"/>
    <hyperlink xmlns:r="http://schemas.openxmlformats.org/officeDocument/2006/relationships" ref="T54" r:id="rId21"/>
    <hyperlink xmlns:r="http://schemas.openxmlformats.org/officeDocument/2006/relationships" ref="T55" r:id="rId22"/>
    <hyperlink xmlns:r="http://schemas.openxmlformats.org/officeDocument/2006/relationships" ref="T56" r:id="rId23"/>
    <hyperlink xmlns:r="http://schemas.openxmlformats.org/officeDocument/2006/relationships" ref="T57" r:id="rId24"/>
    <hyperlink xmlns:r="http://schemas.openxmlformats.org/officeDocument/2006/relationships" ref="T58" r:id="rId25"/>
    <hyperlink xmlns:r="http://schemas.openxmlformats.org/officeDocument/2006/relationships" ref="T59" r:id="rId26"/>
    <hyperlink xmlns:r="http://schemas.openxmlformats.org/officeDocument/2006/relationships" ref="T60" r:id="rId27"/>
    <hyperlink xmlns:r="http://schemas.openxmlformats.org/officeDocument/2006/relationships" ref="T61" r:id="rId28"/>
    <hyperlink xmlns:r="http://schemas.openxmlformats.org/officeDocument/2006/relationships" ref="T62" r:id="rId29"/>
    <hyperlink xmlns:r="http://schemas.openxmlformats.org/officeDocument/2006/relationships" ref="T63" r:id="rId30"/>
    <hyperlink xmlns:r="http://schemas.openxmlformats.org/officeDocument/2006/relationships" ref="T64" r:id="rId31"/>
    <hyperlink xmlns:r="http://schemas.openxmlformats.org/officeDocument/2006/relationships" ref="T65" r:id="rId32"/>
    <hyperlink xmlns:r="http://schemas.openxmlformats.org/officeDocument/2006/relationships" ref="T66" r:id="rId33"/>
    <hyperlink xmlns:r="http://schemas.openxmlformats.org/officeDocument/2006/relationships" ref="T67" r:id="rId34"/>
    <hyperlink xmlns:r="http://schemas.openxmlformats.org/officeDocument/2006/relationships" ref="T68" r:id="rId35"/>
    <hyperlink xmlns:r="http://schemas.openxmlformats.org/officeDocument/2006/relationships" ref="T69" r:id="rId36"/>
    <hyperlink xmlns:r="http://schemas.openxmlformats.org/officeDocument/2006/relationships" ref="T70" r:id="rId37"/>
    <hyperlink xmlns:r="http://schemas.openxmlformats.org/officeDocument/2006/relationships" ref="T71" r:id="rId38"/>
    <hyperlink xmlns:r="http://schemas.openxmlformats.org/officeDocument/2006/relationships" ref="T72" r:id="rId39"/>
    <hyperlink xmlns:r="http://schemas.openxmlformats.org/officeDocument/2006/relationships" ref="T73" r:id="rId40"/>
    <hyperlink xmlns:r="http://schemas.openxmlformats.org/officeDocument/2006/relationships" ref="T74" r:id="rId41"/>
    <hyperlink xmlns:r="http://schemas.openxmlformats.org/officeDocument/2006/relationships" ref="T75" r:id="rId42"/>
    <hyperlink xmlns:r="http://schemas.openxmlformats.org/officeDocument/2006/relationships" ref="T76" r:id="rId43"/>
    <hyperlink xmlns:r="http://schemas.openxmlformats.org/officeDocument/2006/relationships" ref="T77" r:id="rId44"/>
    <hyperlink xmlns:r="http://schemas.openxmlformats.org/officeDocument/2006/relationships" ref="T78" r:id="rId45"/>
    <hyperlink xmlns:r="http://schemas.openxmlformats.org/officeDocument/2006/relationships" ref="T79" r:id="rId46"/>
    <hyperlink xmlns:r="http://schemas.openxmlformats.org/officeDocument/2006/relationships" ref="T80" r:id="rId47"/>
    <hyperlink xmlns:r="http://schemas.openxmlformats.org/officeDocument/2006/relationships" ref="T81" r:id="rId48"/>
    <hyperlink xmlns:r="http://schemas.openxmlformats.org/officeDocument/2006/relationships" ref="T82" r:id="rId49"/>
    <hyperlink xmlns:r="http://schemas.openxmlformats.org/officeDocument/2006/relationships" ref="T83" r:id="rId50"/>
    <hyperlink xmlns:r="http://schemas.openxmlformats.org/officeDocument/2006/relationships" ref="T84" r:id="rId51"/>
    <hyperlink xmlns:r="http://schemas.openxmlformats.org/officeDocument/2006/relationships" ref="T85" r:id="rId52"/>
    <hyperlink xmlns:r="http://schemas.openxmlformats.org/officeDocument/2006/relationships" ref="T86" r:id="rId53"/>
    <hyperlink xmlns:r="http://schemas.openxmlformats.org/officeDocument/2006/relationships" ref="T87" r:id="rId54"/>
    <hyperlink xmlns:r="http://schemas.openxmlformats.org/officeDocument/2006/relationships" ref="T88" r:id="rId55"/>
    <hyperlink xmlns:r="http://schemas.openxmlformats.org/officeDocument/2006/relationships" ref="T89" r:id="rId56"/>
    <hyperlink xmlns:r="http://schemas.openxmlformats.org/officeDocument/2006/relationships" ref="T90" r:id="rId57"/>
    <hyperlink xmlns:r="http://schemas.openxmlformats.org/officeDocument/2006/relationships" ref="T91" r:id="rId58"/>
    <hyperlink xmlns:r="http://schemas.openxmlformats.org/officeDocument/2006/relationships" ref="T92" r:id="rId59"/>
    <hyperlink xmlns:r="http://schemas.openxmlformats.org/officeDocument/2006/relationships" ref="T93" r:id="rId60"/>
    <hyperlink xmlns:r="http://schemas.openxmlformats.org/officeDocument/2006/relationships" ref="T94" r:id="rId61"/>
    <hyperlink xmlns:r="http://schemas.openxmlformats.org/officeDocument/2006/relationships" ref="T95" r:id="rId62"/>
    <hyperlink xmlns:r="http://schemas.openxmlformats.org/officeDocument/2006/relationships" ref="T96" r:id="rId63"/>
    <hyperlink xmlns:r="http://schemas.openxmlformats.org/officeDocument/2006/relationships" ref="T97" r:id="rId64"/>
    <hyperlink xmlns:r="http://schemas.openxmlformats.org/officeDocument/2006/relationships" ref="T98" r:id="rId65"/>
    <hyperlink xmlns:r="http://schemas.openxmlformats.org/officeDocument/2006/relationships" ref="T99" r:id="rId66"/>
    <hyperlink xmlns:r="http://schemas.openxmlformats.org/officeDocument/2006/relationships" ref="T100" r:id="rId67"/>
    <hyperlink xmlns:r="http://schemas.openxmlformats.org/officeDocument/2006/relationships" ref="T101" r:id="rId68"/>
    <hyperlink xmlns:r="http://schemas.openxmlformats.org/officeDocument/2006/relationships" ref="T102" r:id="rId69"/>
    <hyperlink xmlns:r="http://schemas.openxmlformats.org/officeDocument/2006/relationships" ref="T103" r:id="rId70"/>
    <hyperlink xmlns:r="http://schemas.openxmlformats.org/officeDocument/2006/relationships" ref="T104" r:id="rId71"/>
    <hyperlink xmlns:r="http://schemas.openxmlformats.org/officeDocument/2006/relationships" ref="T105" r:id="rId72"/>
    <hyperlink xmlns:r="http://schemas.openxmlformats.org/officeDocument/2006/relationships" ref="T106" r:id="rId73"/>
    <hyperlink xmlns:r="http://schemas.openxmlformats.org/officeDocument/2006/relationships" ref="T107" r:id="rId74"/>
    <hyperlink xmlns:r="http://schemas.openxmlformats.org/officeDocument/2006/relationships" ref="T108" r:id="rId75"/>
    <hyperlink xmlns:r="http://schemas.openxmlformats.org/officeDocument/2006/relationships" ref="T109" r:id="rId76"/>
    <hyperlink xmlns:r="http://schemas.openxmlformats.org/officeDocument/2006/relationships" ref="T110" r:id="rId77"/>
    <hyperlink xmlns:r="http://schemas.openxmlformats.org/officeDocument/2006/relationships" ref="T111" r:id="rId78"/>
    <hyperlink xmlns:r="http://schemas.openxmlformats.org/officeDocument/2006/relationships" ref="T112" r:id="rId7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5" t="inlineStr">
        <is>
          <t>level</t>
        </is>
      </c>
      <c r="B1" s="5" t="inlineStr">
        <is>
          <t>compound</t>
        </is>
      </c>
      <c r="C1" s="5" t="inlineStr">
        <is>
          <t>label</t>
        </is>
      </c>
      <c r="D1" s="5" t="inlineStr">
        <is>
          <t>species</t>
        </is>
      </c>
      <c r="E1" s="5" t="inlineStr">
        <is>
          <t>group</t>
        </is>
      </c>
      <c r="F1" s="5" t="inlineStr">
        <is>
          <t>kobs (1/h)</t>
        </is>
      </c>
      <c r="G1" s="5" t="inlineStr">
        <is>
          <t>SE (1/h)</t>
        </is>
      </c>
      <c r="H1" s="5" t="inlineStr">
        <is>
          <t>ln kobs</t>
        </is>
      </c>
      <c r="I1" s="5" t="inlineStr">
        <is>
          <t>LUMO_eV</t>
        </is>
      </c>
      <c r="J1" s="5" t="inlineStr">
        <is>
          <t>LUMO_RA_eV</t>
        </is>
      </c>
      <c r="K1" s="5" t="inlineStr">
        <is>
          <t>min_dG_1e_kcal</t>
        </is>
      </c>
      <c r="L1" s="5" t="inlineStr">
        <is>
          <t>min_dG_2e_carbanion_kcal</t>
        </is>
      </c>
      <c r="M1" s="5" t="inlineStr">
        <is>
          <t>dG_ET_any_kcal</t>
        </is>
      </c>
      <c r="N1" s="5" t="inlineStr">
        <is>
          <t>min_dG_frag_any_kcal</t>
        </is>
      </c>
      <c r="O1" s="5" t="inlineStr">
        <is>
          <t>min_dG_RA_2e_any_kcal</t>
        </is>
      </c>
      <c r="P1" s="5" t="inlineStr">
        <is>
          <t>n_X</t>
        </is>
      </c>
      <c r="Q1" s="5" t="inlineStr">
        <is>
          <t>VEA_eV</t>
        </is>
      </c>
      <c r="R1" s="5" t="inlineStr">
        <is>
          <t>AEA_elec_eV</t>
        </is>
      </c>
      <c r="S1" s="5" t="inlineStr">
        <is>
          <t>omega_dSCF_eV</t>
        </is>
      </c>
      <c r="T1" s="5" t="inlineStr">
        <is>
          <t>E_ET_V</t>
        </is>
      </c>
      <c r="U1" s="5" t="inlineStr">
        <is>
          <t>dG_ET_kcal</t>
        </is>
      </c>
      <c r="V1" s="5" t="inlineStr">
        <is>
          <t>min_dG_frag_kcal</t>
        </is>
      </c>
      <c r="W1" s="5" t="inlineStr">
        <is>
          <t>min_dG_RA_2e_kcal</t>
        </is>
      </c>
      <c r="X1" s="5" t="inlineStr">
        <is>
          <t>min_dG_2e_HDH_kcal</t>
        </is>
      </c>
      <c r="Y1" s="5" t="inlineStr">
        <is>
          <t>min_dG_rad_red_kcal</t>
        </is>
      </c>
      <c r="Z1" s="5" t="inlineStr">
        <is>
          <t>lambda_i_kcal</t>
        </is>
      </c>
      <c r="AA1" s="5" t="inlineStr">
        <is>
          <t>min_BDE_kcal</t>
        </is>
      </c>
      <c r="AB1" s="5" t="inlineStr">
        <is>
          <t>min_dG0_act_concerted_kcal</t>
        </is>
      </c>
      <c r="AC1" s="5" t="inlineStr">
        <is>
          <t>eff_dG_act_concerted_kcal @ -2.00 V</t>
        </is>
      </c>
      <c r="AD1" s="5" t="inlineStr">
        <is>
          <t>eff_dG_act_combined_kcal @ -2.00 V</t>
        </is>
      </c>
      <c r="AE1" s="5" t="inlineStr">
        <is>
          <t>max_fplus_CX</t>
        </is>
      </c>
      <c r="AF1" s="5" t="inlineStr">
        <is>
          <t>min_wiberg_CX_parent</t>
        </is>
      </c>
      <c r="AG1" s="5" t="inlineStr">
        <is>
          <t>max_spin_RA_X</t>
        </is>
      </c>
      <c r="AH1" s="5" t="inlineStr">
        <is>
          <t>max_dr_CX_RA_A</t>
        </is>
      </c>
    </row>
    <row r="2">
      <c r="A2" t="inlineStr">
        <is>
          <t>B3gas</t>
        </is>
      </c>
      <c r="B2" t="inlineStr">
        <is>
          <t>Bromobenzene</t>
        </is>
      </c>
      <c r="C2" t="inlineStr">
        <is>
          <t>MonoBr</t>
        </is>
      </c>
      <c r="D2" t="inlineStr">
        <is>
          <t>BrBz_1</t>
        </is>
      </c>
      <c r="E2" t="inlineStr">
        <is>
          <t>bromobenzene</t>
        </is>
      </c>
      <c r="F2" t="n">
        <v>0.002</v>
      </c>
      <c r="G2" t="n">
        <v>0.00021</v>
      </c>
      <c r="H2" t="n">
        <v>-6.2146</v>
      </c>
      <c r="I2" t="n">
        <v>-0.84</v>
      </c>
      <c r="J2" t="n">
        <v>2.0743</v>
      </c>
      <c r="K2" t="n">
        <v>-13.36</v>
      </c>
      <c r="L2" t="n">
        <v>-37.3</v>
      </c>
      <c r="M2" t="n">
        <v>-12.91</v>
      </c>
      <c r="N2" t="n">
        <v>-0.45</v>
      </c>
      <c r="O2" t="n">
        <v>-24.39</v>
      </c>
      <c r="P2" t="n">
        <v>1</v>
      </c>
      <c r="Q2" t="n">
        <v>-0.449</v>
      </c>
      <c r="S2" t="n">
        <v>0.957</v>
      </c>
      <c r="X2" t="n">
        <v>-427.77</v>
      </c>
      <c r="Y2" t="n">
        <v>-23.94</v>
      </c>
      <c r="AA2" t="n">
        <v>74.12</v>
      </c>
      <c r="AE2" t="n">
        <v>0.1498</v>
      </c>
      <c r="AF2" t="n">
        <v>1.0359</v>
      </c>
      <c r="AH2" t="n">
        <v>0.9262</v>
      </c>
    </row>
    <row r="3">
      <c r="A3" t="inlineStr">
        <is>
          <t>B3gas</t>
        </is>
      </c>
      <c r="B3" t="inlineStr">
        <is>
          <t>1,4-Dibromobenzene</t>
        </is>
      </c>
      <c r="C3" t="inlineStr">
        <is>
          <t>1,4-DiBr</t>
        </is>
      </c>
      <c r="D3" t="inlineStr">
        <is>
          <t>BrBz_14</t>
        </is>
      </c>
      <c r="E3" t="inlineStr">
        <is>
          <t>bromobenzene</t>
        </is>
      </c>
      <c r="F3" t="n">
        <v>0.012</v>
      </c>
      <c r="G3" t="n">
        <v>0.0014</v>
      </c>
      <c r="H3" t="n">
        <v>-4.4228</v>
      </c>
      <c r="I3" t="n">
        <v>-1.201</v>
      </c>
      <c r="J3" t="n">
        <v>1.96</v>
      </c>
      <c r="K3" t="n">
        <v>-13.77</v>
      </c>
      <c r="L3" t="n">
        <v>-47.41</v>
      </c>
      <c r="M3" t="n">
        <v>-18.93</v>
      </c>
      <c r="N3" t="n">
        <v>5.16</v>
      </c>
      <c r="O3" t="n">
        <v>-28.48</v>
      </c>
      <c r="P3" t="n">
        <v>2</v>
      </c>
      <c r="Q3" t="n">
        <v>-0.671</v>
      </c>
      <c r="S3" t="n">
        <v>0.863</v>
      </c>
      <c r="X3" t="n">
        <v>-430.06</v>
      </c>
      <c r="Y3" t="n">
        <v>-33.64</v>
      </c>
      <c r="AA3" t="n">
        <v>74.12</v>
      </c>
      <c r="AE3" t="n">
        <v>0.4011</v>
      </c>
      <c r="AF3" t="n">
        <v>1.0408</v>
      </c>
      <c r="AH3" t="n">
        <v>0.8605</v>
      </c>
    </row>
    <row r="4">
      <c r="A4" t="inlineStr">
        <is>
          <t>B3gas</t>
        </is>
      </c>
      <c r="B4" t="inlineStr">
        <is>
          <t>1,3-Dibromobenzene</t>
        </is>
      </c>
      <c r="C4" t="inlineStr">
        <is>
          <t>1,3-DiBr</t>
        </is>
      </c>
      <c r="D4" t="inlineStr">
        <is>
          <t>BrBz_13</t>
        </is>
      </c>
      <c r="E4" t="inlineStr">
        <is>
          <t>bromobenzene</t>
        </is>
      </c>
      <c r="F4" t="n">
        <v>0.0329</v>
      </c>
      <c r="G4" t="n">
        <v>0.0031</v>
      </c>
      <c r="H4" t="n">
        <v>-3.4143</v>
      </c>
      <c r="I4" t="n">
        <v>-1.19</v>
      </c>
      <c r="J4" t="n">
        <v>1.6376</v>
      </c>
      <c r="K4" t="n">
        <v>-14.58</v>
      </c>
      <c r="L4" t="n">
        <v>-50.97</v>
      </c>
      <c r="M4" t="n">
        <v>-19.99</v>
      </c>
      <c r="N4" t="n">
        <v>5.41</v>
      </c>
      <c r="O4" t="n">
        <v>-30.98</v>
      </c>
      <c r="P4" t="n">
        <v>2</v>
      </c>
      <c r="Q4" t="n">
        <v>-0.222</v>
      </c>
      <c r="S4" t="n">
        <v>1.032</v>
      </c>
      <c r="X4" t="n">
        <v>-429.7</v>
      </c>
      <c r="Y4" t="n">
        <v>-36.39</v>
      </c>
      <c r="AA4" t="n">
        <v>73.33</v>
      </c>
      <c r="AE4" t="n">
        <v>0.2248</v>
      </c>
      <c r="AF4" t="n">
        <v>1.0417</v>
      </c>
      <c r="AH4" t="n">
        <v>0.0475</v>
      </c>
    </row>
    <row r="5">
      <c r="A5" t="inlineStr">
        <is>
          <t>B3gas</t>
        </is>
      </c>
      <c r="B5" t="inlineStr">
        <is>
          <t>1,2,4-Tribromobenzene</t>
        </is>
      </c>
      <c r="C5" t="inlineStr">
        <is>
          <t>1,2,4-TriBr</t>
        </is>
      </c>
      <c r="D5" t="inlineStr">
        <is>
          <t>BrBz_124</t>
        </is>
      </c>
      <c r="E5" t="inlineStr">
        <is>
          <t>bromobenzene</t>
        </is>
      </c>
      <c r="F5" t="n">
        <v>0.55</v>
      </c>
      <c r="G5" t="n">
        <v>0.082</v>
      </c>
      <c r="H5" t="n">
        <v>-0.5978</v>
      </c>
      <c r="I5" t="n">
        <v>-1.525</v>
      </c>
      <c r="J5" t="n">
        <v>1.2517</v>
      </c>
      <c r="K5" t="n">
        <v>-16.77</v>
      </c>
      <c r="L5" t="n">
        <v>-69.17</v>
      </c>
      <c r="M5" t="n">
        <v>-26.74</v>
      </c>
      <c r="N5" t="n">
        <v>9.970000000000001</v>
      </c>
      <c r="O5" t="n">
        <v>-42.44</v>
      </c>
      <c r="P5" t="n">
        <v>3</v>
      </c>
      <c r="Q5" t="n">
        <v>0.063</v>
      </c>
      <c r="S5" t="n">
        <v>1.118</v>
      </c>
      <c r="X5" t="n">
        <v>-432.76</v>
      </c>
      <c r="Y5" t="n">
        <v>-52.41</v>
      </c>
      <c r="AA5" t="n">
        <v>70.93000000000001</v>
      </c>
      <c r="AE5" t="n">
        <v>0.271</v>
      </c>
      <c r="AF5" t="n">
        <v>1.0452</v>
      </c>
      <c r="AH5" t="n">
        <v>0.7235</v>
      </c>
    </row>
    <row r="6">
      <c r="A6" t="inlineStr">
        <is>
          <t>B3gas</t>
        </is>
      </c>
      <c r="B6" t="inlineStr">
        <is>
          <t>1,3,5-Tribromobenzene</t>
        </is>
      </c>
      <c r="C6" t="inlineStr">
        <is>
          <t>1,3,5-TriBr</t>
        </is>
      </c>
      <c r="D6" t="inlineStr">
        <is>
          <t>BrBz_135</t>
        </is>
      </c>
      <c r="E6" t="inlineStr">
        <is>
          <t>bromobenzene</t>
        </is>
      </c>
      <c r="F6" t="n">
        <v>0.9</v>
      </c>
      <c r="G6" t="n">
        <v>0.15</v>
      </c>
      <c r="H6" t="n">
        <v>-0.1054</v>
      </c>
      <c r="I6" t="n">
        <v>-1.638</v>
      </c>
      <c r="J6" t="n">
        <v>1.1129</v>
      </c>
      <c r="K6" t="n">
        <v>-15.54</v>
      </c>
      <c r="L6" t="n">
        <v>-63.39</v>
      </c>
      <c r="M6" t="n">
        <v>-27.39</v>
      </c>
      <c r="N6" t="n">
        <v>11.86</v>
      </c>
      <c r="O6" t="n">
        <v>-36</v>
      </c>
      <c r="P6" t="n">
        <v>3</v>
      </c>
      <c r="Q6" t="n">
        <v>0.164</v>
      </c>
      <c r="S6" t="n">
        <v>1.199</v>
      </c>
      <c r="X6" t="n">
        <v>-431.09</v>
      </c>
      <c r="Y6" t="n">
        <v>-47.86</v>
      </c>
      <c r="AA6" t="n">
        <v>72.64</v>
      </c>
      <c r="AE6" t="n">
        <v>0.2669</v>
      </c>
      <c r="AF6" t="n">
        <v>1.0465</v>
      </c>
      <c r="AH6" t="n">
        <v>0.7131999999999999</v>
      </c>
    </row>
    <row r="7">
      <c r="A7" t="inlineStr">
        <is>
          <t>B3gas</t>
        </is>
      </c>
      <c r="B7" t="inlineStr">
        <is>
          <t>1,2,4,5-Tetrabromobenzene</t>
        </is>
      </c>
      <c r="C7" t="inlineStr">
        <is>
          <t>1,2,4,5-TetrBr</t>
        </is>
      </c>
      <c r="D7" t="inlineStr">
        <is>
          <t>BrBz_1245</t>
        </is>
      </c>
      <c r="E7" t="inlineStr">
        <is>
          <t>bromobenzene</t>
        </is>
      </c>
      <c r="F7" t="n">
        <v>2.5</v>
      </c>
      <c r="G7" t="n">
        <v>0.28</v>
      </c>
      <c r="H7" t="n">
        <v>0.9163</v>
      </c>
      <c r="I7" t="n">
        <v>-1.863</v>
      </c>
      <c r="J7" t="n">
        <v>0.9923999999999999</v>
      </c>
      <c r="K7" t="n">
        <v>-17.23</v>
      </c>
      <c r="L7" t="n">
        <v>-74.59999999999999</v>
      </c>
      <c r="M7" t="n">
        <v>-30.89</v>
      </c>
      <c r="N7" t="n">
        <v>13.66</v>
      </c>
      <c r="O7" t="n">
        <v>-43.71</v>
      </c>
      <c r="P7" t="n">
        <v>4</v>
      </c>
      <c r="Q7" t="n">
        <v>0.417</v>
      </c>
      <c r="S7" t="n">
        <v>1.257</v>
      </c>
      <c r="X7" t="n">
        <v>-434.37</v>
      </c>
      <c r="Y7" t="n">
        <v>-57.37</v>
      </c>
      <c r="AA7" t="n">
        <v>71.28</v>
      </c>
      <c r="AE7" t="n">
        <v>0.214</v>
      </c>
      <c r="AF7" t="n">
        <v>1.0544</v>
      </c>
      <c r="AH7" t="n">
        <v>0.0198</v>
      </c>
    </row>
    <row r="8">
      <c r="A8" t="inlineStr">
        <is>
          <t>B3gas</t>
        </is>
      </c>
      <c r="B8" t="inlineStr">
        <is>
          <t>Hexabromobenzene</t>
        </is>
      </c>
      <c r="C8" t="inlineStr">
        <is>
          <t>HexaBr</t>
        </is>
      </c>
      <c r="D8" t="inlineStr">
        <is>
          <t>BrBz_123456</t>
        </is>
      </c>
      <c r="E8" t="inlineStr">
        <is>
          <t>bromobenzene</t>
        </is>
      </c>
      <c r="F8" t="n">
        <v>10</v>
      </c>
      <c r="G8" t="n">
        <v>1.3</v>
      </c>
      <c r="H8" t="n">
        <v>2.3026</v>
      </c>
      <c r="I8" t="n">
        <v>-2.723</v>
      </c>
      <c r="J8" t="n">
        <v>0.2231</v>
      </c>
      <c r="K8" t="n">
        <v>-24.73</v>
      </c>
      <c r="L8" t="n">
        <v>-97.23</v>
      </c>
      <c r="M8" t="n">
        <v>-46.83</v>
      </c>
      <c r="N8" t="n">
        <v>22.11</v>
      </c>
      <c r="O8" t="n">
        <v>-50.39</v>
      </c>
      <c r="P8" t="n">
        <v>6</v>
      </c>
      <c r="Q8" t="n">
        <v>1.313</v>
      </c>
      <c r="R8" t="n">
        <v>1.787</v>
      </c>
      <c r="S8" t="n">
        <v>1.709</v>
      </c>
      <c r="U8" t="n">
        <v>-46.83</v>
      </c>
      <c r="V8" t="n">
        <v>22.11</v>
      </c>
      <c r="W8" t="n">
        <v>-50.39</v>
      </c>
      <c r="X8" t="n">
        <v>-440.64</v>
      </c>
      <c r="Y8" t="n">
        <v>-72.5</v>
      </c>
      <c r="Z8" t="n">
        <v>23.67</v>
      </c>
      <c r="AA8" t="n">
        <v>64.31</v>
      </c>
      <c r="AE8" t="n">
        <v>0.1667</v>
      </c>
      <c r="AF8" t="n">
        <v>1.0634</v>
      </c>
      <c r="AG8" t="n">
        <v>0.10526</v>
      </c>
      <c r="AH8" t="n">
        <v>0.09080000000000001</v>
      </c>
    </row>
    <row r="9">
      <c r="A9" t="inlineStr">
        <is>
          <t>B3gas</t>
        </is>
      </c>
      <c r="B9" t="inlineStr">
        <is>
          <t>BDE-47</t>
        </is>
      </c>
      <c r="C9" t="inlineStr">
        <is>
          <t>BDE-47</t>
        </is>
      </c>
      <c r="D9" t="inlineStr">
        <is>
          <t>BDE_24_24</t>
        </is>
      </c>
      <c r="E9" t="inlineStr">
        <is>
          <t>pbde</t>
        </is>
      </c>
      <c r="F9" t="n">
        <v>0.078</v>
      </c>
      <c r="G9" t="n">
        <v>0.018</v>
      </c>
      <c r="H9" t="n">
        <v>-2.551</v>
      </c>
      <c r="I9" t="n">
        <v>-1.575</v>
      </c>
      <c r="J9" t="n">
        <v>1.0397</v>
      </c>
      <c r="K9" t="n">
        <v>-15.72</v>
      </c>
      <c r="L9" t="n">
        <v>-74.87</v>
      </c>
      <c r="M9" t="n">
        <v>-28.49</v>
      </c>
      <c r="N9" t="n">
        <v>12.77</v>
      </c>
      <c r="O9" t="n">
        <v>-46.38</v>
      </c>
      <c r="P9" t="n">
        <v>4</v>
      </c>
      <c r="Q9" t="n">
        <v>0.235</v>
      </c>
      <c r="S9" t="n">
        <v>1.099</v>
      </c>
      <c r="X9" t="n">
        <v>-432.05</v>
      </c>
      <c r="Y9" t="n">
        <v>-59.15</v>
      </c>
      <c r="AA9" t="n">
        <v>71.61</v>
      </c>
      <c r="AE9" t="n">
        <v>0.1206</v>
      </c>
      <c r="AF9" t="n">
        <v>1.0412</v>
      </c>
      <c r="AH9" t="n">
        <v>0.0135</v>
      </c>
    </row>
    <row r="10">
      <c r="A10" t="inlineStr">
        <is>
          <t>B3gas</t>
        </is>
      </c>
      <c r="B10" t="inlineStr">
        <is>
          <t>BDE-99</t>
        </is>
      </c>
      <c r="C10" t="inlineStr">
        <is>
          <t>BDE-99</t>
        </is>
      </c>
      <c r="D10" t="inlineStr">
        <is>
          <t>BDE_245_24</t>
        </is>
      </c>
      <c r="E10" t="inlineStr">
        <is>
          <t>pbde</t>
        </is>
      </c>
      <c r="F10" t="n">
        <v>0.45</v>
      </c>
      <c r="G10" t="n">
        <v>0.068</v>
      </c>
      <c r="H10" t="n">
        <v>-0.7985</v>
      </c>
      <c r="I10" t="n">
        <v>-1.69</v>
      </c>
      <c r="J10" t="n">
        <v>0.7611</v>
      </c>
      <c r="K10" t="n">
        <v>-16.39</v>
      </c>
      <c r="L10" t="n">
        <v>-85.28</v>
      </c>
      <c r="M10" t="n">
        <v>-23.93</v>
      </c>
      <c r="N10" t="n">
        <v>7.54</v>
      </c>
      <c r="O10" t="n">
        <v>-61.35</v>
      </c>
      <c r="P10" t="n">
        <v>5</v>
      </c>
      <c r="Q10" t="n">
        <v>0.41</v>
      </c>
      <c r="S10" t="n">
        <v>1.192</v>
      </c>
      <c r="X10" t="n">
        <v>-433.68</v>
      </c>
      <c r="Y10" t="n">
        <v>-69.59999999999999</v>
      </c>
      <c r="AA10" t="n">
        <v>71.31</v>
      </c>
      <c r="AE10" t="n">
        <v>0.1534</v>
      </c>
      <c r="AF10" t="n">
        <v>1.0454</v>
      </c>
      <c r="AH10" t="n">
        <v>0.7027</v>
      </c>
    </row>
    <row r="11">
      <c r="A11" t="inlineStr">
        <is>
          <t>B3gas</t>
        </is>
      </c>
      <c r="B11" t="inlineStr">
        <is>
          <t>Hexachlorobenzene</t>
        </is>
      </c>
      <c r="C11" t="inlineStr">
        <is>
          <t>HexaCl</t>
        </is>
      </c>
      <c r="D11" t="inlineStr">
        <is>
          <t>ClBz_123456</t>
        </is>
      </c>
      <c r="E11" t="inlineStr">
        <is>
          <t>chlorobenzene</t>
        </is>
      </c>
      <c r="F11" t="n">
        <v>4.739304239</v>
      </c>
      <c r="H11" t="n">
        <v>1.5559</v>
      </c>
      <c r="I11" t="n">
        <v>-1.995</v>
      </c>
      <c r="J11" t="n">
        <v>0.9818</v>
      </c>
      <c r="K11" t="n">
        <v>-11.63</v>
      </c>
      <c r="L11" t="n">
        <v>-83.08</v>
      </c>
      <c r="M11" t="n">
        <v>-34.01</v>
      </c>
      <c r="N11" t="n">
        <v>22.38</v>
      </c>
      <c r="O11" t="n">
        <v>-49.07</v>
      </c>
      <c r="P11" t="n">
        <v>6</v>
      </c>
      <c r="Q11" t="n">
        <v>0.256</v>
      </c>
      <c r="R11" t="n">
        <v>1.225</v>
      </c>
      <c r="S11" t="n">
        <v>1.244</v>
      </c>
      <c r="U11" t="n">
        <v>-34.01</v>
      </c>
      <c r="V11" t="n">
        <v>22.38</v>
      </c>
      <c r="W11" t="n">
        <v>-49.07</v>
      </c>
      <c r="X11" t="n">
        <v>-429.78</v>
      </c>
      <c r="Y11" t="n">
        <v>-71.45</v>
      </c>
      <c r="Z11" t="n">
        <v>40.2</v>
      </c>
      <c r="AA11" t="n">
        <v>83.09</v>
      </c>
      <c r="AE11" t="n">
        <v>0.2258</v>
      </c>
      <c r="AF11" t="n">
        <v>1.0891</v>
      </c>
      <c r="AG11" t="n">
        <v>0.07278999999999999</v>
      </c>
      <c r="AH11" t="n">
        <v>0.07190000000000001</v>
      </c>
    </row>
    <row r="12">
      <c r="A12" t="inlineStr">
        <is>
          <t>B3gas</t>
        </is>
      </c>
      <c r="B12" t="inlineStr">
        <is>
          <t>Pentachlorobenzene</t>
        </is>
      </c>
      <c r="C12" t="inlineStr">
        <is>
          <t>PentaCl</t>
        </is>
      </c>
      <c r="D12" t="inlineStr">
        <is>
          <t>ClBz_12345</t>
        </is>
      </c>
      <c r="E12" t="inlineStr">
        <is>
          <t>chlorobenzene</t>
        </is>
      </c>
      <c r="F12" t="n">
        <v>0.197935943</v>
      </c>
      <c r="H12" t="n">
        <v>-1.6198</v>
      </c>
      <c r="I12" t="n">
        <v>-1.785</v>
      </c>
      <c r="J12" t="n">
        <v>0.9665</v>
      </c>
      <c r="K12" t="n">
        <v>-10.39</v>
      </c>
      <c r="L12" t="n">
        <v>-78.48999999999999</v>
      </c>
      <c r="M12" t="n">
        <v>-28.12</v>
      </c>
      <c r="N12" t="n">
        <v>17.74</v>
      </c>
      <c r="O12" t="n">
        <v>-50.37</v>
      </c>
      <c r="P12" t="n">
        <v>5</v>
      </c>
      <c r="Q12" t="n">
        <v>0.106</v>
      </c>
      <c r="R12" t="n">
        <v>1.067</v>
      </c>
      <c r="S12" t="n">
        <v>1.174</v>
      </c>
      <c r="U12" t="n">
        <v>-28.12</v>
      </c>
      <c r="V12" t="n">
        <v>17.74</v>
      </c>
      <c r="W12" t="n">
        <v>-50.37</v>
      </c>
      <c r="X12" t="n">
        <v>-427.83</v>
      </c>
      <c r="Y12" t="n">
        <v>-68.09999999999999</v>
      </c>
      <c r="Z12" t="n">
        <v>69.83</v>
      </c>
      <c r="AA12" t="n">
        <v>83.27</v>
      </c>
      <c r="AE12" t="n">
        <v>0.2291</v>
      </c>
      <c r="AF12" t="n">
        <v>1.0783</v>
      </c>
      <c r="AG12" t="n">
        <v>0.36682</v>
      </c>
      <c r="AH12" t="n">
        <v>0.6122</v>
      </c>
    </row>
    <row r="13">
      <c r="A13" t="inlineStr">
        <is>
          <t>B3gas</t>
        </is>
      </c>
      <c r="B13" t="inlineStr">
        <is>
          <t>1,2,4,5-Tetrachlorobenzene</t>
        </is>
      </c>
      <c r="C13" t="inlineStr">
        <is>
          <t>1,2,4,5-TetraCl</t>
        </is>
      </c>
      <c r="D13" t="inlineStr">
        <is>
          <t>ClBz_1245</t>
        </is>
      </c>
      <c r="E13" t="inlineStr">
        <is>
          <t>chlorobenzene</t>
        </is>
      </c>
      <c r="F13" t="n">
        <v>0.295230167</v>
      </c>
      <c r="H13" t="n">
        <v>-1.22</v>
      </c>
      <c r="I13" t="n">
        <v>-1.67</v>
      </c>
      <c r="J13" t="n">
        <v>1.4713</v>
      </c>
      <c r="K13" t="n">
        <v>-7.63</v>
      </c>
      <c r="L13" t="n">
        <v>-62.59</v>
      </c>
      <c r="M13" t="n">
        <v>-21.44</v>
      </c>
      <c r="N13" t="n">
        <v>13.81</v>
      </c>
      <c r="O13" t="n">
        <v>-41.14</v>
      </c>
      <c r="P13" t="n">
        <v>4</v>
      </c>
      <c r="Q13" t="n">
        <v>-0.052</v>
      </c>
      <c r="S13" t="n">
        <v>1.103</v>
      </c>
      <c r="X13" t="n">
        <v>-425.53</v>
      </c>
      <c r="Y13" t="n">
        <v>-54.95</v>
      </c>
      <c r="AA13" t="n">
        <v>86.63</v>
      </c>
      <c r="AE13" t="n">
        <v>0.1526</v>
      </c>
      <c r="AF13" t="n">
        <v>1.0754</v>
      </c>
      <c r="AH13" t="n">
        <v>0.0451</v>
      </c>
    </row>
    <row r="14">
      <c r="A14" t="inlineStr">
        <is>
          <t>B3gas</t>
        </is>
      </c>
      <c r="B14" t="inlineStr">
        <is>
          <t>1,2-Dichlorobenzene</t>
        </is>
      </c>
      <c r="C14" t="inlineStr">
        <is>
          <t>1,2-DiCl</t>
        </is>
      </c>
      <c r="D14" t="inlineStr">
        <is>
          <t>ClBz_12</t>
        </is>
      </c>
      <c r="E14" t="inlineStr">
        <is>
          <t>chlorobenzene</t>
        </is>
      </c>
      <c r="F14" t="n">
        <v>0.042852127</v>
      </c>
      <c r="H14" t="n">
        <v>-3.15</v>
      </c>
      <c r="I14" t="n">
        <v>-1.1</v>
      </c>
      <c r="J14" t="n">
        <v>1.8912</v>
      </c>
      <c r="K14" t="n">
        <v>-7.02</v>
      </c>
      <c r="L14" t="n">
        <v>-47.71</v>
      </c>
      <c r="M14" t="n">
        <v>-11.69</v>
      </c>
      <c r="N14" t="n">
        <v>4.67</v>
      </c>
      <c r="O14" t="n">
        <v>-36.01</v>
      </c>
      <c r="P14" t="n">
        <v>2</v>
      </c>
      <c r="Q14" t="n">
        <v>-0.726</v>
      </c>
      <c r="S14" t="n">
        <v>0.885</v>
      </c>
      <c r="X14" t="n">
        <v>-423.64</v>
      </c>
      <c r="Y14" t="n">
        <v>-40.69</v>
      </c>
      <c r="AA14" t="n">
        <v>86.81999999999999</v>
      </c>
      <c r="AE14" t="n">
        <v>0.1622</v>
      </c>
      <c r="AF14" t="n">
        <v>1.0669</v>
      </c>
      <c r="AH14" t="n">
        <v>0.857</v>
      </c>
    </row>
    <row r="15">
      <c r="A15" t="inlineStr">
        <is>
          <t>B3gas</t>
        </is>
      </c>
      <c r="B15" t="inlineStr">
        <is>
          <t>1,4-Dichlorobenzene</t>
        </is>
      </c>
      <c r="C15" t="inlineStr">
        <is>
          <t>1,4-DiCl</t>
        </is>
      </c>
      <c r="D15" t="inlineStr">
        <is>
          <t>ClBz_14</t>
        </is>
      </c>
      <c r="E15" t="inlineStr">
        <is>
          <t>chlorobenzene</t>
        </is>
      </c>
      <c r="F15" t="n">
        <v>0.000905247</v>
      </c>
      <c r="H15" t="n">
        <v>-7.0073</v>
      </c>
      <c r="I15" t="n">
        <v>-1.184</v>
      </c>
      <c r="J15" t="n">
        <v>2.7538</v>
      </c>
      <c r="K15" t="n">
        <v>-5.04</v>
      </c>
      <c r="L15" t="n">
        <v>-37.66</v>
      </c>
      <c r="M15" t="n">
        <v>4.13</v>
      </c>
      <c r="N15" t="n">
        <v>-9.16</v>
      </c>
      <c r="O15" t="n">
        <v>-41.79</v>
      </c>
      <c r="P15" t="n">
        <v>2</v>
      </c>
      <c r="Q15" t="n">
        <v>-0.665</v>
      </c>
      <c r="R15" t="n">
        <v>-0.384</v>
      </c>
      <c r="S15" t="n">
        <v>0.89</v>
      </c>
      <c r="U15" t="n">
        <v>4.13</v>
      </c>
      <c r="V15" t="n">
        <v>-9.16</v>
      </c>
      <c r="W15" t="n">
        <v>-41.79</v>
      </c>
      <c r="X15" t="n">
        <v>-421.48</v>
      </c>
      <c r="Y15" t="n">
        <v>-32.62</v>
      </c>
      <c r="Z15" t="n">
        <v>17.13</v>
      </c>
      <c r="AA15" t="n">
        <v>88.66</v>
      </c>
      <c r="AE15" t="n">
        <v>0.147</v>
      </c>
      <c r="AF15" t="n">
        <v>1.0559</v>
      </c>
      <c r="AG15" t="n">
        <v>0.05043</v>
      </c>
      <c r="AH15" t="n">
        <v>0.08359999999999999</v>
      </c>
    </row>
    <row r="16">
      <c r="A16" t="inlineStr">
        <is>
          <t>B3SMD</t>
        </is>
      </c>
      <c r="B16" t="inlineStr">
        <is>
          <t>Bromobenzene</t>
        </is>
      </c>
      <c r="C16" t="inlineStr">
        <is>
          <t>MonoBr</t>
        </is>
      </c>
      <c r="D16" t="inlineStr">
        <is>
          <t>BrBz_1</t>
        </is>
      </c>
      <c r="E16" t="inlineStr">
        <is>
          <t>bromobenzene</t>
        </is>
      </c>
      <c r="F16" t="n">
        <v>0.002</v>
      </c>
      <c r="G16" t="n">
        <v>0.00021</v>
      </c>
      <c r="H16" t="n">
        <v>-6.2146</v>
      </c>
      <c r="I16" t="n">
        <v>-0.708</v>
      </c>
      <c r="J16" t="n">
        <v>-1.7437</v>
      </c>
      <c r="K16" t="n">
        <v>-63.58</v>
      </c>
      <c r="L16" t="n">
        <v>-147.23</v>
      </c>
      <c r="M16" t="n">
        <v>-60.42</v>
      </c>
      <c r="N16" t="n">
        <v>-3.16</v>
      </c>
      <c r="O16" t="n">
        <v>-86.81</v>
      </c>
      <c r="P16" t="n">
        <v>1</v>
      </c>
      <c r="Q16" t="n">
        <v>1.013</v>
      </c>
      <c r="S16" t="n">
        <v>1.316</v>
      </c>
      <c r="X16" t="n">
        <v>-214.76</v>
      </c>
      <c r="Y16" t="n">
        <v>-83.65000000000001</v>
      </c>
      <c r="AA16" t="n">
        <v>74.26000000000001</v>
      </c>
      <c r="AB16" t="n">
        <v>26.44</v>
      </c>
      <c r="AC16" t="n">
        <v>21.24</v>
      </c>
      <c r="AE16" t="n">
        <v>0.1124</v>
      </c>
      <c r="AF16" t="n">
        <v>1.0259</v>
      </c>
      <c r="AH16" t="n">
        <v>1.34</v>
      </c>
    </row>
    <row r="17">
      <c r="A17" t="inlineStr">
        <is>
          <t>B3SMD</t>
        </is>
      </c>
      <c r="B17" t="inlineStr">
        <is>
          <t>1,4-Dibromobenzene</t>
        </is>
      </c>
      <c r="C17" t="inlineStr">
        <is>
          <t>1,4-DiBr</t>
        </is>
      </c>
      <c r="D17" t="inlineStr">
        <is>
          <t>BrBz_14</t>
        </is>
      </c>
      <c r="E17" t="inlineStr">
        <is>
          <t>bromobenzene</t>
        </is>
      </c>
      <c r="F17" t="n">
        <v>0.012</v>
      </c>
      <c r="G17" t="n">
        <v>0.0014</v>
      </c>
      <c r="H17" t="n">
        <v>-4.4228</v>
      </c>
      <c r="I17" t="n">
        <v>-0.992</v>
      </c>
      <c r="J17" t="n">
        <v>-1.6188</v>
      </c>
      <c r="K17" t="n">
        <v>-64.03</v>
      </c>
      <c r="L17" t="n">
        <v>-151.25</v>
      </c>
      <c r="M17" t="n">
        <v>-61.54</v>
      </c>
      <c r="N17" t="n">
        <v>-2.49</v>
      </c>
      <c r="O17" t="n">
        <v>-89.70999999999999</v>
      </c>
      <c r="P17" t="n">
        <v>2</v>
      </c>
      <c r="Q17" t="n">
        <v>1.234</v>
      </c>
      <c r="S17" t="n">
        <v>1.447</v>
      </c>
      <c r="X17" t="n">
        <v>-216.7</v>
      </c>
      <c r="Y17" t="n">
        <v>-87.22</v>
      </c>
      <c r="AA17" t="n">
        <v>74.2</v>
      </c>
      <c r="AB17" t="n">
        <v>26.01</v>
      </c>
      <c r="AC17" t="n">
        <v>20.19932</v>
      </c>
      <c r="AE17" t="n">
        <v>0.1192</v>
      </c>
      <c r="AF17" t="n">
        <v>1.0325</v>
      </c>
      <c r="AH17" t="n">
        <v>0.0095</v>
      </c>
    </row>
    <row r="18">
      <c r="A18" t="inlineStr">
        <is>
          <t>B3SMD</t>
        </is>
      </c>
      <c r="B18" t="inlineStr">
        <is>
          <t>1,3-Dibromobenzene</t>
        </is>
      </c>
      <c r="C18" t="inlineStr">
        <is>
          <t>1,3-DiBr</t>
        </is>
      </c>
      <c r="D18" t="inlineStr">
        <is>
          <t>BrBz_13</t>
        </is>
      </c>
      <c r="E18" t="inlineStr">
        <is>
          <t>bromobenzene</t>
        </is>
      </c>
      <c r="F18" t="n">
        <v>0.0329</v>
      </c>
      <c r="G18" t="n">
        <v>0.0031</v>
      </c>
      <c r="H18" t="n">
        <v>-3.4143</v>
      </c>
      <c r="I18" t="n">
        <v>-1.029</v>
      </c>
      <c r="J18" t="n">
        <v>-1.7255</v>
      </c>
      <c r="K18" t="n">
        <v>-65.02</v>
      </c>
      <c r="L18" t="n">
        <v>-153.37</v>
      </c>
      <c r="M18" t="n">
        <v>-61.54</v>
      </c>
      <c r="N18" t="n">
        <v>-3.48</v>
      </c>
      <c r="O18" t="n">
        <v>-91.83</v>
      </c>
      <c r="P18" t="n">
        <v>2</v>
      </c>
      <c r="Q18" t="n">
        <v>1.245</v>
      </c>
      <c r="S18" t="n">
        <v>1.466</v>
      </c>
      <c r="X18" t="n">
        <v>-216.62</v>
      </c>
      <c r="Y18" t="n">
        <v>-88.34999999999999</v>
      </c>
      <c r="AA18" t="n">
        <v>73.29000000000001</v>
      </c>
      <c r="AB18" t="n">
        <v>25.78</v>
      </c>
      <c r="AC18" t="n">
        <v>19.52932</v>
      </c>
      <c r="AE18" t="n">
        <v>0.1533</v>
      </c>
      <c r="AF18" t="n">
        <v>1.0336</v>
      </c>
      <c r="AH18" t="n">
        <v>0.018</v>
      </c>
    </row>
    <row r="19">
      <c r="A19" t="inlineStr">
        <is>
          <t>B3SMD</t>
        </is>
      </c>
      <c r="B19" t="inlineStr">
        <is>
          <t>1,2,4-Tribromobenzene</t>
        </is>
      </c>
      <c r="C19" t="inlineStr">
        <is>
          <t>1,2,4-TriBr</t>
        </is>
      </c>
      <c r="D19" t="inlineStr">
        <is>
          <t>BrBz_124</t>
        </is>
      </c>
      <c r="E19" t="inlineStr">
        <is>
          <t>bromobenzene</t>
        </is>
      </c>
      <c r="F19" t="n">
        <v>0.55</v>
      </c>
      <c r="G19" t="n">
        <v>0.082</v>
      </c>
      <c r="H19" t="n">
        <v>-0.5978</v>
      </c>
      <c r="I19" t="n">
        <v>-1.426</v>
      </c>
      <c r="J19" t="n">
        <v>-2.0145</v>
      </c>
      <c r="K19" t="n">
        <v>-67.31</v>
      </c>
      <c r="L19" t="n">
        <v>-164.3</v>
      </c>
      <c r="M19" t="n">
        <v>-65.84999999999999</v>
      </c>
      <c r="N19" t="n">
        <v>-1.46</v>
      </c>
      <c r="O19" t="n">
        <v>-98.45</v>
      </c>
      <c r="P19" t="n">
        <v>3</v>
      </c>
      <c r="Q19" t="n">
        <v>1.521</v>
      </c>
      <c r="S19" t="n">
        <v>1.649</v>
      </c>
      <c r="X19" t="n">
        <v>-219.79</v>
      </c>
      <c r="Y19" t="n">
        <v>-96.98999999999999</v>
      </c>
      <c r="AA19" t="n">
        <v>70.72</v>
      </c>
      <c r="AB19" t="n">
        <v>24.8</v>
      </c>
      <c r="AC19" t="n">
        <v>17.74253</v>
      </c>
      <c r="AE19" t="n">
        <v>0.3598</v>
      </c>
      <c r="AF19" t="n">
        <v>1.0392</v>
      </c>
      <c r="AH19" t="n">
        <v>0.84</v>
      </c>
    </row>
    <row r="20">
      <c r="A20" t="inlineStr">
        <is>
          <t>B3SMD</t>
        </is>
      </c>
      <c r="B20" t="inlineStr">
        <is>
          <t>1,3,5-Tribromobenzene</t>
        </is>
      </c>
      <c r="C20" t="inlineStr">
        <is>
          <t>1,3,5-TriBr</t>
        </is>
      </c>
      <c r="D20" t="inlineStr">
        <is>
          <t>BrBz_135</t>
        </is>
      </c>
      <c r="E20" t="inlineStr">
        <is>
          <t>bromobenzene</t>
        </is>
      </c>
      <c r="F20" t="n">
        <v>0.9</v>
      </c>
      <c r="G20" t="n">
        <v>0.15</v>
      </c>
      <c r="H20" t="n">
        <v>-0.1054</v>
      </c>
      <c r="I20" t="n">
        <v>-1.51</v>
      </c>
      <c r="J20" t="n">
        <v>-1.9519</v>
      </c>
      <c r="K20" t="n">
        <v>-65.45999999999999</v>
      </c>
      <c r="L20" t="n">
        <v>-159.14</v>
      </c>
      <c r="M20" t="n">
        <v>-64.5</v>
      </c>
      <c r="N20" t="n">
        <v>-0.97</v>
      </c>
      <c r="O20" t="n">
        <v>-94.64</v>
      </c>
      <c r="P20" t="n">
        <v>3</v>
      </c>
      <c r="Q20" t="n">
        <v>1.472</v>
      </c>
      <c r="S20" t="n">
        <v>1.637</v>
      </c>
      <c r="X20" t="n">
        <v>-217.99</v>
      </c>
      <c r="Y20" t="n">
        <v>-93.68000000000001</v>
      </c>
      <c r="AA20" t="n">
        <v>72.41</v>
      </c>
      <c r="AB20" t="n">
        <v>25.22</v>
      </c>
      <c r="AC20" t="n">
        <v>18.54909</v>
      </c>
      <c r="AE20" t="n">
        <v>0.126</v>
      </c>
      <c r="AF20" t="n">
        <v>1.0413</v>
      </c>
      <c r="AH20" t="n">
        <v>0.0219</v>
      </c>
    </row>
    <row r="21">
      <c r="A21" t="inlineStr">
        <is>
          <t>B3SMD</t>
        </is>
      </c>
      <c r="B21" t="inlineStr">
        <is>
          <t>1,2,4,5-Tetrabromobenzene</t>
        </is>
      </c>
      <c r="C21" t="inlineStr">
        <is>
          <t>1,2,4,5-TetrBr</t>
        </is>
      </c>
      <c r="D21" t="inlineStr">
        <is>
          <t>BrBz_1245</t>
        </is>
      </c>
      <c r="E21" t="inlineStr">
        <is>
          <t>bromobenzene</t>
        </is>
      </c>
      <c r="F21" t="n">
        <v>2.5</v>
      </c>
      <c r="G21" t="n">
        <v>0.28</v>
      </c>
      <c r="H21" t="n">
        <v>0.9163</v>
      </c>
      <c r="I21" t="n">
        <v>-1.758</v>
      </c>
      <c r="J21" t="n">
        <v>-2.0667</v>
      </c>
      <c r="K21" t="n">
        <v>-67.84999999999999</v>
      </c>
      <c r="L21" t="n">
        <v>-167.94</v>
      </c>
      <c r="M21" t="n">
        <v>-68.09999999999999</v>
      </c>
      <c r="N21" t="n">
        <v>0.25</v>
      </c>
      <c r="O21" t="n">
        <v>-99.84</v>
      </c>
      <c r="P21" t="n">
        <v>4</v>
      </c>
      <c r="Q21" t="n">
        <v>1.815</v>
      </c>
      <c r="S21" t="n">
        <v>1.874</v>
      </c>
      <c r="X21" t="n">
        <v>-221.89</v>
      </c>
      <c r="Y21" t="n">
        <v>-100.08</v>
      </c>
      <c r="AA21" t="n">
        <v>70.98</v>
      </c>
      <c r="AB21" t="n">
        <v>24.58</v>
      </c>
      <c r="AC21" t="n">
        <v>16.72864</v>
      </c>
      <c r="AE21" t="n">
        <v>0.2063</v>
      </c>
      <c r="AF21" t="n">
        <v>1.0505</v>
      </c>
      <c r="AH21" t="n">
        <v>0.0097</v>
      </c>
    </row>
    <row r="22">
      <c r="A22" t="inlineStr">
        <is>
          <t>B3SMD</t>
        </is>
      </c>
      <c r="B22" t="inlineStr">
        <is>
          <t>Hexabromobenzene</t>
        </is>
      </c>
      <c r="C22" t="inlineStr">
        <is>
          <t>HexaBr</t>
        </is>
      </c>
      <c r="D22" t="inlineStr">
        <is>
          <t>BrBz_123456</t>
        </is>
      </c>
      <c r="E22" t="inlineStr">
        <is>
          <t>bromobenzene</t>
        </is>
      </c>
      <c r="F22" t="n">
        <v>10</v>
      </c>
      <c r="G22" t="n">
        <v>1.3</v>
      </c>
      <c r="H22" t="n">
        <v>2.3026</v>
      </c>
      <c r="I22" t="n">
        <v>-2.69</v>
      </c>
      <c r="J22" t="n">
        <v>-2.5353</v>
      </c>
      <c r="K22" t="n">
        <v>-74.56999999999999</v>
      </c>
      <c r="L22" t="n">
        <v>-184.25</v>
      </c>
      <c r="M22" t="n">
        <v>-77.05</v>
      </c>
      <c r="N22" t="n">
        <v>2.49</v>
      </c>
      <c r="O22" t="n">
        <v>-107.2</v>
      </c>
      <c r="P22" t="n">
        <v>6</v>
      </c>
      <c r="Q22" t="n">
        <v>2.688</v>
      </c>
      <c r="R22" t="n">
        <v>3.165</v>
      </c>
      <c r="S22" t="n">
        <v>2.706</v>
      </c>
      <c r="T22" t="n">
        <v>-0.9399999999999999</v>
      </c>
      <c r="U22" t="n">
        <v>-77.05</v>
      </c>
      <c r="V22" t="n">
        <v>2.49</v>
      </c>
      <c r="W22" t="n">
        <v>-107.2</v>
      </c>
      <c r="X22" t="n">
        <v>-227.26</v>
      </c>
      <c r="Y22" t="n">
        <v>-109.69</v>
      </c>
      <c r="Z22" t="n">
        <v>23.87</v>
      </c>
      <c r="AA22" t="n">
        <v>64.16</v>
      </c>
      <c r="AB22" t="n">
        <v>22.42</v>
      </c>
      <c r="AC22" t="n">
        <v>11.72841</v>
      </c>
      <c r="AE22" t="n">
        <v>0.1667</v>
      </c>
      <c r="AF22" t="n">
        <v>1.0616</v>
      </c>
      <c r="AG22" t="n">
        <v>0.09972</v>
      </c>
      <c r="AH22" t="n">
        <v>0.0832</v>
      </c>
    </row>
    <row r="23">
      <c r="A23" t="inlineStr">
        <is>
          <t>B3SMD</t>
        </is>
      </c>
      <c r="B23" t="inlineStr">
        <is>
          <t>BDE-47</t>
        </is>
      </c>
      <c r="C23" t="inlineStr">
        <is>
          <t>BDE-47</t>
        </is>
      </c>
      <c r="D23" t="inlineStr">
        <is>
          <t>BDE_24_24</t>
        </is>
      </c>
      <c r="E23" t="inlineStr">
        <is>
          <t>pbde</t>
        </is>
      </c>
      <c r="F23" t="n">
        <v>0.078</v>
      </c>
      <c r="G23" t="n">
        <v>0.018</v>
      </c>
      <c r="H23" t="n">
        <v>-2.551</v>
      </c>
      <c r="I23" t="n">
        <v>-1.271</v>
      </c>
      <c r="J23" t="n">
        <v>-1.932</v>
      </c>
      <c r="K23" t="n">
        <v>-66.26000000000001</v>
      </c>
      <c r="L23" t="n">
        <v>-166.45</v>
      </c>
      <c r="M23" t="n">
        <v>-63.25</v>
      </c>
      <c r="N23" t="n">
        <v>-3.02</v>
      </c>
      <c r="O23" t="n">
        <v>-103.2</v>
      </c>
      <c r="P23" t="n">
        <v>4</v>
      </c>
      <c r="Q23" t="n">
        <v>1.503</v>
      </c>
      <c r="S23" t="n">
        <v>1.59</v>
      </c>
      <c r="X23" t="n">
        <v>-219.46</v>
      </c>
      <c r="Y23" t="n">
        <v>-100.19</v>
      </c>
      <c r="AA23" t="n">
        <v>71.69</v>
      </c>
      <c r="AB23" t="n">
        <v>23.87</v>
      </c>
      <c r="AC23" t="n">
        <v>17.06427</v>
      </c>
      <c r="AE23" t="n">
        <v>0.0946</v>
      </c>
      <c r="AF23" t="n">
        <v>1.0333</v>
      </c>
      <c r="AH23" t="n">
        <v>0.0034</v>
      </c>
    </row>
    <row r="24">
      <c r="A24" t="inlineStr">
        <is>
          <t>B3SMD</t>
        </is>
      </c>
      <c r="B24" t="inlineStr">
        <is>
          <t>BDE-99</t>
        </is>
      </c>
      <c r="C24" t="inlineStr">
        <is>
          <t>BDE-99</t>
        </is>
      </c>
      <c r="D24" t="inlineStr">
        <is>
          <t>BDE_245_24</t>
        </is>
      </c>
      <c r="E24" t="inlineStr">
        <is>
          <t>pbde</t>
        </is>
      </c>
      <c r="F24" t="n">
        <v>0.45</v>
      </c>
      <c r="G24" t="n">
        <v>0.068</v>
      </c>
      <c r="H24" t="n">
        <v>-0.7985</v>
      </c>
      <c r="I24" t="n">
        <v>-1.487</v>
      </c>
      <c r="K24" t="n">
        <v>-67.25</v>
      </c>
      <c r="L24" t="n">
        <v>-173.47</v>
      </c>
      <c r="P24" t="n">
        <v>5</v>
      </c>
      <c r="Q24" t="n">
        <v>1.64</v>
      </c>
      <c r="S24" t="n">
        <v>1.706</v>
      </c>
      <c r="X24" t="n">
        <v>-220.63</v>
      </c>
      <c r="Y24" t="n">
        <v>-107.38</v>
      </c>
      <c r="AA24" t="n">
        <v>71.04000000000001</v>
      </c>
      <c r="AB24" t="n">
        <v>23.56</v>
      </c>
      <c r="AC24" t="n">
        <v>16.34236</v>
      </c>
      <c r="AE24" t="n">
        <v>0.1357</v>
      </c>
      <c r="AF24" t="n">
        <v>1.0364</v>
      </c>
    </row>
    <row r="25">
      <c r="A25" t="inlineStr">
        <is>
          <t>B3SMD</t>
        </is>
      </c>
      <c r="B25" t="inlineStr">
        <is>
          <t>Hexachlorobenzene</t>
        </is>
      </c>
      <c r="C25" t="inlineStr">
        <is>
          <t>HexaCl</t>
        </is>
      </c>
      <c r="D25" t="inlineStr">
        <is>
          <t>ClBz_123456</t>
        </is>
      </c>
      <c r="E25" t="inlineStr">
        <is>
          <t>chlorobenzene</t>
        </is>
      </c>
      <c r="F25" t="n">
        <v>4.739304239</v>
      </c>
      <c r="H25" t="n">
        <v>1.5559</v>
      </c>
      <c r="I25" t="n">
        <v>-1.904</v>
      </c>
      <c r="J25" t="n">
        <v>-2.8001</v>
      </c>
      <c r="K25" t="n">
        <v>-74.03</v>
      </c>
      <c r="L25" t="n">
        <v>-187.46</v>
      </c>
      <c r="M25" t="n">
        <v>-73.5</v>
      </c>
      <c r="N25" t="n">
        <v>-0.53</v>
      </c>
      <c r="O25" t="n">
        <v>-113.96</v>
      </c>
      <c r="P25" t="n">
        <v>6</v>
      </c>
      <c r="Q25" t="n">
        <v>1.88</v>
      </c>
      <c r="R25" t="n">
        <v>3.026</v>
      </c>
      <c r="S25" t="n">
        <v>1.94</v>
      </c>
      <c r="T25" t="n">
        <v>-1.094</v>
      </c>
      <c r="U25" t="n">
        <v>-73.5</v>
      </c>
      <c r="V25" t="n">
        <v>-0.53</v>
      </c>
      <c r="W25" t="n">
        <v>-113.96</v>
      </c>
      <c r="X25" t="n">
        <v>-229.4</v>
      </c>
      <c r="Y25" t="n">
        <v>-113.44</v>
      </c>
      <c r="Z25" t="n">
        <v>82.61</v>
      </c>
      <c r="AA25" t="n">
        <v>83.47</v>
      </c>
      <c r="AB25" t="n">
        <v>27.56</v>
      </c>
      <c r="AC25" t="n">
        <v>16.82841</v>
      </c>
      <c r="AE25" t="n">
        <v>0.2295</v>
      </c>
      <c r="AF25" t="n">
        <v>1.0843</v>
      </c>
      <c r="AG25" t="n">
        <v>0.31336</v>
      </c>
      <c r="AH25" t="n">
        <v>0.7995</v>
      </c>
    </row>
    <row r="26">
      <c r="A26" t="inlineStr">
        <is>
          <t>B3SMD</t>
        </is>
      </c>
      <c r="B26" t="inlineStr">
        <is>
          <t>Pentachlorobenzene</t>
        </is>
      </c>
      <c r="C26" t="inlineStr">
        <is>
          <t>PentaCl</t>
        </is>
      </c>
      <c r="D26" t="inlineStr">
        <is>
          <t>ClBz_12345</t>
        </is>
      </c>
      <c r="E26" t="inlineStr">
        <is>
          <t>chlorobenzene</t>
        </is>
      </c>
      <c r="F26" t="n">
        <v>0.197935943</v>
      </c>
      <c r="H26" t="n">
        <v>-1.6198</v>
      </c>
      <c r="I26" t="n">
        <v>-1.539</v>
      </c>
      <c r="J26" t="n">
        <v>-2.7135</v>
      </c>
      <c r="K26" t="n">
        <v>-73.41</v>
      </c>
      <c r="L26" t="n">
        <v>-184.82</v>
      </c>
      <c r="M26" t="n">
        <v>-71.62</v>
      </c>
      <c r="N26" t="n">
        <v>-1.79</v>
      </c>
      <c r="O26" t="n">
        <v>-113.2</v>
      </c>
      <c r="P26" t="n">
        <v>5</v>
      </c>
      <c r="Q26" t="n">
        <v>1.765</v>
      </c>
      <c r="R26" t="n">
        <v>2.979</v>
      </c>
      <c r="S26" t="n">
        <v>1.841</v>
      </c>
      <c r="T26" t="n">
        <v>-1.175</v>
      </c>
      <c r="U26" t="n">
        <v>-71.62</v>
      </c>
      <c r="V26" t="n">
        <v>-1.79</v>
      </c>
      <c r="W26" t="n">
        <v>-113.2</v>
      </c>
      <c r="X26" t="n">
        <v>-227.91</v>
      </c>
      <c r="Y26" t="n">
        <v>-111.41</v>
      </c>
      <c r="Z26" t="n">
        <v>84.95999999999999</v>
      </c>
      <c r="AA26" t="n">
        <v>83.68000000000001</v>
      </c>
      <c r="AB26" t="n">
        <v>27.81</v>
      </c>
      <c r="AC26" t="n">
        <v>17.96238</v>
      </c>
      <c r="AE26" t="n">
        <v>0.2265</v>
      </c>
      <c r="AF26" t="n">
        <v>1.0726</v>
      </c>
      <c r="AG26" t="n">
        <v>0.30346</v>
      </c>
      <c r="AH26" t="n">
        <v>0.8373</v>
      </c>
    </row>
    <row r="27">
      <c r="A27" t="inlineStr">
        <is>
          <t>B3SMD</t>
        </is>
      </c>
      <c r="B27" t="inlineStr">
        <is>
          <t>1,2,4,5-Tetrachlorobenzene</t>
        </is>
      </c>
      <c r="C27" t="inlineStr">
        <is>
          <t>1,2,4,5-TetraCl</t>
        </is>
      </c>
      <c r="D27" t="inlineStr">
        <is>
          <t>ClBz_1245</t>
        </is>
      </c>
      <c r="E27" t="inlineStr">
        <is>
          <t>chlorobenzene</t>
        </is>
      </c>
      <c r="F27" t="n">
        <v>0.295230167</v>
      </c>
      <c r="H27" t="n">
        <v>-1.22</v>
      </c>
      <c r="I27" t="n">
        <v>-1.372</v>
      </c>
      <c r="J27" t="n">
        <v>-2.4798</v>
      </c>
      <c r="K27" t="n">
        <v>-70.79000000000001</v>
      </c>
      <c r="L27" t="n">
        <v>-172.09</v>
      </c>
      <c r="M27" t="n">
        <v>-67.72</v>
      </c>
      <c r="N27" t="n">
        <v>-3.07</v>
      </c>
      <c r="O27" t="n">
        <v>-104.37</v>
      </c>
      <c r="P27" t="n">
        <v>4</v>
      </c>
      <c r="Q27" t="n">
        <v>1.653</v>
      </c>
      <c r="S27" t="n">
        <v>1.746</v>
      </c>
      <c r="X27" t="n">
        <v>-225.58</v>
      </c>
      <c r="Y27" t="n">
        <v>-101.3</v>
      </c>
      <c r="AA27" t="n">
        <v>86.94</v>
      </c>
      <c r="AB27" t="n">
        <v>28.84</v>
      </c>
      <c r="AC27" t="n">
        <v>19.64864</v>
      </c>
      <c r="AE27" t="n">
        <v>0.1388</v>
      </c>
      <c r="AF27" t="n">
        <v>1.0672</v>
      </c>
      <c r="AH27" t="n">
        <v>0.024</v>
      </c>
    </row>
    <row r="28">
      <c r="A28" t="inlineStr">
        <is>
          <t>B3SMD</t>
        </is>
      </c>
      <c r="B28" t="inlineStr">
        <is>
          <t>1,2-Dichlorobenzene</t>
        </is>
      </c>
      <c r="C28" t="inlineStr">
        <is>
          <t>1,2-DiCl</t>
        </is>
      </c>
      <c r="D28" t="inlineStr">
        <is>
          <t>ClBz_12</t>
        </is>
      </c>
      <c r="E28" t="inlineStr">
        <is>
          <t>chlorobenzene</t>
        </is>
      </c>
      <c r="F28" t="n">
        <v>0.042852127</v>
      </c>
      <c r="H28" t="n">
        <v>-3.15</v>
      </c>
      <c r="I28" t="n">
        <v>-0.896</v>
      </c>
      <c r="J28" t="n">
        <v>-3.0937</v>
      </c>
      <c r="K28" t="n">
        <v>-70.02</v>
      </c>
      <c r="L28" t="n">
        <v>-164.42</v>
      </c>
      <c r="M28" t="n">
        <v>-70.06999999999999</v>
      </c>
      <c r="N28" t="n">
        <v>0.04</v>
      </c>
      <c r="O28" t="n">
        <v>-94.34999999999999</v>
      </c>
      <c r="P28" t="n">
        <v>2</v>
      </c>
      <c r="Q28" t="n">
        <v>1.217</v>
      </c>
      <c r="S28" t="n">
        <v>1.446</v>
      </c>
      <c r="X28" t="n">
        <v>-222.98</v>
      </c>
      <c r="Y28" t="n">
        <v>-94.40000000000001</v>
      </c>
      <c r="AA28" t="n">
        <v>87.27</v>
      </c>
      <c r="AB28" t="n">
        <v>29.46</v>
      </c>
      <c r="AC28" t="n">
        <v>20.97932</v>
      </c>
      <c r="AE28" t="n">
        <v>0.1334</v>
      </c>
      <c r="AF28" t="n">
        <v>1.0538</v>
      </c>
      <c r="AH28" t="n">
        <v>5.221</v>
      </c>
    </row>
    <row r="29">
      <c r="A29" t="inlineStr">
        <is>
          <t>B3SMD</t>
        </is>
      </c>
      <c r="B29" t="inlineStr">
        <is>
          <t>1,4-Dichlorobenzene</t>
        </is>
      </c>
      <c r="C29" t="inlineStr">
        <is>
          <t>1,4-DiCl</t>
        </is>
      </c>
      <c r="D29" t="inlineStr">
        <is>
          <t>ClBz_14</t>
        </is>
      </c>
      <c r="E29" t="inlineStr">
        <is>
          <t>chlorobenzene</t>
        </is>
      </c>
      <c r="F29" t="n">
        <v>0.000905247</v>
      </c>
      <c r="H29" t="n">
        <v>-7.0073</v>
      </c>
      <c r="I29" t="n">
        <v>-0.9330000000000001</v>
      </c>
      <c r="J29" t="n">
        <v>-0.1641</v>
      </c>
      <c r="K29" t="n">
        <v>-67.98</v>
      </c>
      <c r="L29" t="n">
        <v>-155.14</v>
      </c>
      <c r="M29" t="n">
        <v>-38.68</v>
      </c>
      <c r="N29" t="n">
        <v>-29.3</v>
      </c>
      <c r="O29" t="n">
        <v>-116.47</v>
      </c>
      <c r="P29" t="n">
        <v>2</v>
      </c>
      <c r="Q29" t="n">
        <v>1.254</v>
      </c>
      <c r="R29" t="n">
        <v>1.456</v>
      </c>
      <c r="S29" t="n">
        <v>1.457</v>
      </c>
      <c r="T29" t="n">
        <v>-2.604</v>
      </c>
      <c r="U29" t="n">
        <v>-38.68</v>
      </c>
      <c r="V29" t="n">
        <v>-29.3</v>
      </c>
      <c r="W29" t="n">
        <v>-116.47</v>
      </c>
      <c r="X29" t="n">
        <v>-220.72</v>
      </c>
      <c r="Y29" t="n">
        <v>-87.17</v>
      </c>
      <c r="Z29" t="n">
        <v>11.31</v>
      </c>
      <c r="AA29" t="n">
        <v>89.16</v>
      </c>
      <c r="AB29" t="n">
        <v>29.94</v>
      </c>
      <c r="AC29" t="n">
        <v>22.32932</v>
      </c>
      <c r="AE29" t="n">
        <v>0.1166</v>
      </c>
      <c r="AF29" t="n">
        <v>1.043</v>
      </c>
      <c r="AG29" t="n">
        <v>0.01484</v>
      </c>
      <c r="AH29" t="n">
        <v>0.0391</v>
      </c>
    </row>
    <row r="30">
      <c r="A30" t="inlineStr">
        <is>
          <t>M6gas</t>
        </is>
      </c>
      <c r="B30" t="inlineStr">
        <is>
          <t>Bromobenzene</t>
        </is>
      </c>
      <c r="C30" t="inlineStr">
        <is>
          <t>MonoBr</t>
        </is>
      </c>
      <c r="D30" t="inlineStr">
        <is>
          <t>BrBz_1</t>
        </is>
      </c>
      <c r="E30" t="inlineStr">
        <is>
          <t>bromobenzene</t>
        </is>
      </c>
      <c r="F30" t="n">
        <v>0.002</v>
      </c>
      <c r="G30" t="n">
        <v>0.00021</v>
      </c>
      <c r="H30" t="n">
        <v>-6.2146</v>
      </c>
      <c r="I30" t="n">
        <v>-0.11</v>
      </c>
      <c r="J30" t="n">
        <v>2.169</v>
      </c>
      <c r="K30" t="n">
        <v>-8.09</v>
      </c>
      <c r="L30" t="n">
        <v>-31.81</v>
      </c>
      <c r="M30" t="n">
        <v>-8.039999999999999</v>
      </c>
      <c r="N30" t="n">
        <v>-0.05</v>
      </c>
      <c r="O30" t="n">
        <v>-23.77</v>
      </c>
      <c r="P30" t="n">
        <v>1</v>
      </c>
      <c r="Q30" t="n">
        <v>-0.76</v>
      </c>
      <c r="S30" t="n">
        <v>0.898</v>
      </c>
      <c r="X30" t="n">
        <v>-420.73</v>
      </c>
      <c r="Y30" t="n">
        <v>-23.72</v>
      </c>
      <c r="AA30" t="n">
        <v>77.11</v>
      </c>
      <c r="AE30" t="n">
        <v>0.0911</v>
      </c>
      <c r="AF30" t="n">
        <v>1.041</v>
      </c>
      <c r="AH30" t="n">
        <v>1.0136</v>
      </c>
    </row>
    <row r="31">
      <c r="A31" t="inlineStr">
        <is>
          <t>M6gas</t>
        </is>
      </c>
      <c r="B31" t="inlineStr">
        <is>
          <t>1,4-Dibromobenzene</t>
        </is>
      </c>
      <c r="C31" t="inlineStr">
        <is>
          <t>1,4-DiBr</t>
        </is>
      </c>
      <c r="D31" t="inlineStr">
        <is>
          <t>BrBz_14</t>
        </is>
      </c>
      <c r="E31" t="inlineStr">
        <is>
          <t>bromobenzene</t>
        </is>
      </c>
      <c r="F31" t="n">
        <v>0.012</v>
      </c>
      <c r="G31" t="n">
        <v>0.0014</v>
      </c>
      <c r="H31" t="n">
        <v>-4.4228</v>
      </c>
      <c r="I31" t="n">
        <v>-0.299</v>
      </c>
      <c r="J31" t="n">
        <v>2.427</v>
      </c>
      <c r="K31" t="n">
        <v>-8.65</v>
      </c>
      <c r="L31" t="n">
        <v>-42.18</v>
      </c>
      <c r="M31" t="n">
        <v>-13.4</v>
      </c>
      <c r="N31" t="n">
        <v>4.75</v>
      </c>
      <c r="O31" t="n">
        <v>-28.78</v>
      </c>
      <c r="P31" t="n">
        <v>2</v>
      </c>
      <c r="Q31" t="n">
        <v>-1.072</v>
      </c>
      <c r="S31" t="n">
        <v>0.791</v>
      </c>
      <c r="X31" t="n">
        <v>-423.09</v>
      </c>
      <c r="Y31" t="n">
        <v>-33.53</v>
      </c>
      <c r="AA31" t="n">
        <v>76.95999999999999</v>
      </c>
      <c r="AE31" t="n">
        <v>0.3699</v>
      </c>
      <c r="AF31" t="n">
        <v>1.0456</v>
      </c>
      <c r="AH31" t="n">
        <v>0.0234</v>
      </c>
    </row>
    <row r="32">
      <c r="A32" t="inlineStr">
        <is>
          <t>M6gas</t>
        </is>
      </c>
      <c r="B32" t="inlineStr">
        <is>
          <t>1,3-Dibromobenzene</t>
        </is>
      </c>
      <c r="C32" t="inlineStr">
        <is>
          <t>1,3-DiBr</t>
        </is>
      </c>
      <c r="D32" t="inlineStr">
        <is>
          <t>BrBz_13</t>
        </is>
      </c>
      <c r="E32" t="inlineStr">
        <is>
          <t>bromobenzene</t>
        </is>
      </c>
      <c r="F32" t="n">
        <v>0.0329</v>
      </c>
      <c r="G32" t="n">
        <v>0.0031</v>
      </c>
      <c r="H32" t="n">
        <v>-3.4143</v>
      </c>
      <c r="I32" t="n">
        <v>-0.273</v>
      </c>
      <c r="J32" t="n">
        <v>2.2403</v>
      </c>
      <c r="K32" t="n">
        <v>-9.35</v>
      </c>
      <c r="L32" t="n">
        <v>-44.74</v>
      </c>
      <c r="M32" t="n">
        <v>-14.25</v>
      </c>
      <c r="N32" t="n">
        <v>4.91</v>
      </c>
      <c r="O32" t="n">
        <v>-30.49</v>
      </c>
      <c r="P32" t="n">
        <v>2</v>
      </c>
      <c r="Q32" t="n">
        <v>-0.638</v>
      </c>
      <c r="S32" t="n">
        <v>0.9419999999999999</v>
      </c>
      <c r="X32" t="n">
        <v>-422.85</v>
      </c>
      <c r="Y32" t="n">
        <v>-35.4</v>
      </c>
      <c r="AA32" t="n">
        <v>76.31999999999999</v>
      </c>
      <c r="AE32" t="n">
        <v>0.1425</v>
      </c>
      <c r="AF32" t="n">
        <v>1.0467</v>
      </c>
      <c r="AH32" t="n">
        <v>0.0336</v>
      </c>
    </row>
    <row r="33">
      <c r="A33" t="inlineStr">
        <is>
          <t>M6gas</t>
        </is>
      </c>
      <c r="B33" t="inlineStr">
        <is>
          <t>1,2,4-Tribromobenzene</t>
        </is>
      </c>
      <c r="C33" t="inlineStr">
        <is>
          <t>1,2,4-TriBr</t>
        </is>
      </c>
      <c r="D33" t="inlineStr">
        <is>
          <t>BrBz_124</t>
        </is>
      </c>
      <c r="E33" t="inlineStr">
        <is>
          <t>bromobenzene</t>
        </is>
      </c>
      <c r="F33" t="n">
        <v>0.55</v>
      </c>
      <c r="G33" t="n">
        <v>0.082</v>
      </c>
      <c r="H33" t="n">
        <v>-0.5978</v>
      </c>
      <c r="I33" t="n">
        <v>-0.546</v>
      </c>
      <c r="J33" t="n">
        <v>2.2202</v>
      </c>
      <c r="K33" t="n">
        <v>-10.52</v>
      </c>
      <c r="L33" t="n">
        <v>-62.05</v>
      </c>
      <c r="M33" t="n">
        <v>-21.29</v>
      </c>
      <c r="N33" t="n">
        <v>10.77</v>
      </c>
      <c r="O33" t="n">
        <v>-40.76</v>
      </c>
      <c r="P33" t="n">
        <v>3</v>
      </c>
      <c r="Q33" t="n">
        <v>-0.252</v>
      </c>
      <c r="S33" t="n">
        <v>1.054</v>
      </c>
      <c r="X33" t="n">
        <v>-425.07</v>
      </c>
      <c r="Y33" t="n">
        <v>-51.53</v>
      </c>
      <c r="AA33" t="n">
        <v>74.89</v>
      </c>
      <c r="AE33" t="n">
        <v>0.2598</v>
      </c>
      <c r="AF33" t="n">
        <v>1.0499</v>
      </c>
      <c r="AH33" t="n">
        <v>0.6785</v>
      </c>
    </row>
    <row r="34">
      <c r="A34" t="inlineStr">
        <is>
          <t>M6gas</t>
        </is>
      </c>
      <c r="B34" t="inlineStr">
        <is>
          <t>1,3,5-Tribromobenzene</t>
        </is>
      </c>
      <c r="C34" t="inlineStr">
        <is>
          <t>1,3,5-TriBr</t>
        </is>
      </c>
      <c r="D34" t="inlineStr">
        <is>
          <t>BrBz_135</t>
        </is>
      </c>
      <c r="E34" t="inlineStr">
        <is>
          <t>bromobenzene</t>
        </is>
      </c>
      <c r="F34" t="n">
        <v>0.9</v>
      </c>
      <c r="G34" t="n">
        <v>0.15</v>
      </c>
      <c r="H34" t="n">
        <v>-0.1054</v>
      </c>
      <c r="I34" t="n">
        <v>-0.587</v>
      </c>
      <c r="J34" t="n">
        <v>2.1902</v>
      </c>
      <c r="K34" t="n">
        <v>-10.28</v>
      </c>
      <c r="L34" t="n">
        <v>-56.2</v>
      </c>
      <c r="M34" t="n">
        <v>-20.94</v>
      </c>
      <c r="N34" t="n">
        <v>10.67</v>
      </c>
      <c r="O34" t="n">
        <v>-35.26</v>
      </c>
      <c r="P34" t="n">
        <v>3</v>
      </c>
      <c r="Q34" t="n">
        <v>-0.2</v>
      </c>
      <c r="S34" t="n">
        <v>1.115</v>
      </c>
      <c r="X34" t="n">
        <v>-424.28</v>
      </c>
      <c r="Y34" t="n">
        <v>-45.93</v>
      </c>
      <c r="AA34" t="n">
        <v>75.65000000000001</v>
      </c>
      <c r="AE34" t="n">
        <v>0.1441</v>
      </c>
      <c r="AF34" t="n">
        <v>1.0515</v>
      </c>
      <c r="AH34" t="n">
        <v>0.7074</v>
      </c>
    </row>
    <row r="35">
      <c r="A35" t="inlineStr">
        <is>
          <t>M6gas</t>
        </is>
      </c>
      <c r="B35" t="inlineStr">
        <is>
          <t>1,2,4,5-Tetrabromobenzene</t>
        </is>
      </c>
      <c r="C35" t="inlineStr">
        <is>
          <t>1,2,4,5-TetrBr</t>
        </is>
      </c>
      <c r="D35" t="inlineStr">
        <is>
          <t>BrBz_1245</t>
        </is>
      </c>
      <c r="E35" t="inlineStr">
        <is>
          <t>bromobenzene</t>
        </is>
      </c>
      <c r="F35" t="n">
        <v>2.5</v>
      </c>
      <c r="G35" t="n">
        <v>0.28</v>
      </c>
      <c r="H35" t="n">
        <v>0.9163</v>
      </c>
      <c r="I35" t="n">
        <v>-0.794</v>
      </c>
      <c r="J35" t="n">
        <v>2.0588</v>
      </c>
      <c r="K35" t="n">
        <v>-11.14</v>
      </c>
      <c r="L35" t="n">
        <v>-68.02</v>
      </c>
      <c r="M35" t="n">
        <v>-25.56</v>
      </c>
      <c r="N35" t="n">
        <v>14.43</v>
      </c>
      <c r="O35" t="n">
        <v>-42.46</v>
      </c>
      <c r="P35" t="n">
        <v>4</v>
      </c>
      <c r="Q35" t="n">
        <v>0.056</v>
      </c>
      <c r="S35" t="n">
        <v>1.165</v>
      </c>
      <c r="X35" t="n">
        <v>-426.76</v>
      </c>
      <c r="Y35" t="n">
        <v>-56.88</v>
      </c>
      <c r="AA35" t="n">
        <v>75.09999999999999</v>
      </c>
      <c r="AE35" t="n">
        <v>0.1556</v>
      </c>
      <c r="AF35" t="n">
        <v>1.0586</v>
      </c>
      <c r="AH35" t="n">
        <v>0.0172</v>
      </c>
    </row>
    <row r="36">
      <c r="A36" t="inlineStr">
        <is>
          <t>M6gas</t>
        </is>
      </c>
      <c r="B36" t="inlineStr">
        <is>
          <t>Hexabromobenzene</t>
        </is>
      </c>
      <c r="C36" t="inlineStr">
        <is>
          <t>HexaBr</t>
        </is>
      </c>
      <c r="D36" t="inlineStr">
        <is>
          <t>BrBz_123456</t>
        </is>
      </c>
      <c r="E36" t="inlineStr">
        <is>
          <t>bromobenzene</t>
        </is>
      </c>
      <c r="F36" t="n">
        <v>10</v>
      </c>
      <c r="G36" t="n">
        <v>1.3</v>
      </c>
      <c r="H36" t="n">
        <v>2.3026</v>
      </c>
      <c r="I36" t="n">
        <v>-1.601</v>
      </c>
      <c r="J36" t="n">
        <v>1.3208</v>
      </c>
      <c r="K36" t="n">
        <v>-16.9</v>
      </c>
      <c r="L36" t="n">
        <v>-88.01000000000001</v>
      </c>
      <c r="M36" t="n">
        <v>-39.5</v>
      </c>
      <c r="N36" t="n">
        <v>22.6</v>
      </c>
      <c r="O36" t="n">
        <v>-48.51</v>
      </c>
      <c r="P36" t="n">
        <v>6</v>
      </c>
      <c r="Q36" t="n">
        <v>0.876</v>
      </c>
      <c r="R36" t="n">
        <v>1.451</v>
      </c>
      <c r="S36" t="n">
        <v>1.534</v>
      </c>
      <c r="U36" t="n">
        <v>-39.5</v>
      </c>
      <c r="V36" t="n">
        <v>22.6</v>
      </c>
      <c r="W36" t="n">
        <v>-48.51</v>
      </c>
      <c r="X36" t="n">
        <v>-432.03</v>
      </c>
      <c r="Y36" t="n">
        <v>-71.11</v>
      </c>
      <c r="Z36" t="n">
        <v>27.77</v>
      </c>
      <c r="AA36" t="n">
        <v>69.97</v>
      </c>
      <c r="AE36" t="n">
        <v>0.1667</v>
      </c>
      <c r="AF36" t="n">
        <v>1.0669</v>
      </c>
      <c r="AG36" t="n">
        <v>0.08734</v>
      </c>
      <c r="AH36" t="n">
        <v>0.0665</v>
      </c>
    </row>
    <row r="37">
      <c r="A37" t="inlineStr">
        <is>
          <t>M6gas</t>
        </is>
      </c>
      <c r="B37" t="inlineStr">
        <is>
          <t>BDE-47</t>
        </is>
      </c>
      <c r="C37" t="inlineStr">
        <is>
          <t>BDE-47</t>
        </is>
      </c>
      <c r="D37" t="inlineStr">
        <is>
          <t>BDE_24_24</t>
        </is>
      </c>
      <c r="E37" t="inlineStr">
        <is>
          <t>pbde</t>
        </is>
      </c>
      <c r="F37" t="n">
        <v>0.078</v>
      </c>
      <c r="G37" t="n">
        <v>0.018</v>
      </c>
      <c r="H37" t="n">
        <v>-2.551</v>
      </c>
      <c r="I37" t="n">
        <v>-0.723</v>
      </c>
      <c r="J37" t="n">
        <v>2.0662</v>
      </c>
      <c r="K37" t="n">
        <v>-9.76</v>
      </c>
      <c r="L37" t="n">
        <v>-69.77</v>
      </c>
      <c r="M37" t="n">
        <v>-23.73</v>
      </c>
      <c r="N37" t="n">
        <v>13.97</v>
      </c>
      <c r="O37" t="n">
        <v>-46.03</v>
      </c>
      <c r="P37" t="n">
        <v>4</v>
      </c>
      <c r="Q37" t="n">
        <v>0.042</v>
      </c>
      <c r="S37" t="n">
        <v>1.098</v>
      </c>
      <c r="X37" t="n">
        <v>-424.42</v>
      </c>
      <c r="Y37" t="n">
        <v>-60</v>
      </c>
      <c r="AA37" t="n">
        <v>76.05</v>
      </c>
      <c r="AE37" t="n">
        <v>0.1005</v>
      </c>
      <c r="AF37" t="n">
        <v>1.043</v>
      </c>
      <c r="AH37" t="n">
        <v>0.0103</v>
      </c>
    </row>
    <row r="38">
      <c r="A38" t="inlineStr">
        <is>
          <t>M6gas</t>
        </is>
      </c>
      <c r="B38" t="inlineStr">
        <is>
          <t>BDE-99</t>
        </is>
      </c>
      <c r="C38" t="inlineStr">
        <is>
          <t>BDE-99</t>
        </is>
      </c>
      <c r="D38" t="inlineStr">
        <is>
          <t>BDE_245_24</t>
        </is>
      </c>
      <c r="E38" t="inlineStr">
        <is>
          <t>pbde</t>
        </is>
      </c>
      <c r="F38" t="n">
        <v>0.45</v>
      </c>
      <c r="G38" t="n">
        <v>0.068</v>
      </c>
      <c r="H38" t="n">
        <v>-0.7985</v>
      </c>
      <c r="I38" t="n">
        <v>-0.83</v>
      </c>
      <c r="J38" t="n">
        <v>1.9143</v>
      </c>
      <c r="K38" t="n">
        <v>-10.15</v>
      </c>
      <c r="L38" t="n">
        <v>-79.58</v>
      </c>
      <c r="M38" t="n">
        <v>-24.65</v>
      </c>
      <c r="N38" t="n">
        <v>14.49</v>
      </c>
      <c r="O38" t="n">
        <v>-54.93</v>
      </c>
      <c r="P38" t="n">
        <v>5</v>
      </c>
      <c r="Q38" t="n">
        <v>0.192</v>
      </c>
      <c r="R38" t="n">
        <v>0.96</v>
      </c>
      <c r="S38" t="n">
        <v>1.162</v>
      </c>
      <c r="U38" t="n">
        <v>-24.65</v>
      </c>
      <c r="V38" t="n">
        <v>14.49</v>
      </c>
      <c r="W38" t="n">
        <v>-54.93</v>
      </c>
      <c r="X38" t="n">
        <v>-425.59</v>
      </c>
      <c r="Y38" t="n">
        <v>-70.03</v>
      </c>
      <c r="Z38" t="n">
        <v>72.73999999999999</v>
      </c>
      <c r="AA38" t="n">
        <v>75.23</v>
      </c>
      <c r="AE38" t="n">
        <v>0.1321</v>
      </c>
      <c r="AF38" t="n">
        <v>1.0492</v>
      </c>
      <c r="AG38" t="n">
        <v>0.3616</v>
      </c>
      <c r="AH38" t="n">
        <v>0.7017</v>
      </c>
    </row>
    <row r="39">
      <c r="A39" t="inlineStr">
        <is>
          <t>M6gas</t>
        </is>
      </c>
      <c r="B39" t="inlineStr">
        <is>
          <t>Hexachlorobenzene</t>
        </is>
      </c>
      <c r="C39" t="inlineStr">
        <is>
          <t>HexaCl</t>
        </is>
      </c>
      <c r="D39" t="inlineStr">
        <is>
          <t>ClBz_123456</t>
        </is>
      </c>
      <c r="E39" t="inlineStr">
        <is>
          <t>chlorobenzene</t>
        </is>
      </c>
      <c r="F39" t="n">
        <v>4.739304239</v>
      </c>
      <c r="H39" t="n">
        <v>1.5559</v>
      </c>
      <c r="I39" t="n">
        <v>-0.948</v>
      </c>
      <c r="J39" t="n">
        <v>2.1696</v>
      </c>
      <c r="K39" t="n">
        <v>-2.78</v>
      </c>
      <c r="L39" t="n">
        <v>-73.47</v>
      </c>
      <c r="M39" t="n">
        <v>-25.14</v>
      </c>
      <c r="N39" t="n">
        <v>22.36</v>
      </c>
      <c r="O39" t="n">
        <v>-48.33</v>
      </c>
      <c r="P39" t="n">
        <v>6</v>
      </c>
      <c r="Q39" t="n">
        <v>0.242</v>
      </c>
      <c r="R39" t="n">
        <v>0.9370000000000001</v>
      </c>
      <c r="S39" t="n">
        <v>1.288</v>
      </c>
      <c r="U39" t="n">
        <v>-25.14</v>
      </c>
      <c r="V39" t="n">
        <v>22.36</v>
      </c>
      <c r="W39" t="n">
        <v>-48.33</v>
      </c>
      <c r="X39" t="n">
        <v>-419.86</v>
      </c>
      <c r="Y39" t="n">
        <v>-70.69</v>
      </c>
      <c r="Z39" t="n">
        <v>34.38</v>
      </c>
      <c r="AA39" t="n">
        <v>91.03</v>
      </c>
      <c r="AE39" t="n">
        <v>0.2309</v>
      </c>
      <c r="AF39" t="n">
        <v>1.0898</v>
      </c>
      <c r="AG39" t="n">
        <v>0.07141</v>
      </c>
      <c r="AH39" t="n">
        <v>0.0532</v>
      </c>
    </row>
    <row r="40">
      <c r="A40" t="inlineStr">
        <is>
          <t>M6gas</t>
        </is>
      </c>
      <c r="B40" t="inlineStr">
        <is>
          <t>Pentachlorobenzene</t>
        </is>
      </c>
      <c r="C40" t="inlineStr">
        <is>
          <t>PentaCl</t>
        </is>
      </c>
      <c r="D40" t="inlineStr">
        <is>
          <t>ClBz_12345</t>
        </is>
      </c>
      <c r="E40" t="inlineStr">
        <is>
          <t>chlorobenzene</t>
        </is>
      </c>
      <c r="F40" t="n">
        <v>0.197935943</v>
      </c>
      <c r="H40" t="n">
        <v>-1.6198</v>
      </c>
      <c r="I40" t="n">
        <v>-0.85</v>
      </c>
      <c r="J40" t="n">
        <v>2.1222</v>
      </c>
      <c r="K40" t="n">
        <v>-1.53</v>
      </c>
      <c r="L40" t="n">
        <v>-68.67</v>
      </c>
      <c r="M40" t="n">
        <v>-20.78</v>
      </c>
      <c r="N40" t="n">
        <v>19.25</v>
      </c>
      <c r="O40" t="n">
        <v>-47.89</v>
      </c>
      <c r="P40" t="n">
        <v>5</v>
      </c>
      <c r="Q40" t="n">
        <v>0.081</v>
      </c>
      <c r="R40" t="n">
        <v>0.762</v>
      </c>
      <c r="S40" t="n">
        <v>1.212</v>
      </c>
      <c r="U40" t="n">
        <v>-20.78</v>
      </c>
      <c r="V40" t="n">
        <v>19.25</v>
      </c>
      <c r="W40" t="n">
        <v>-47.89</v>
      </c>
      <c r="X40" t="n">
        <v>-417.97</v>
      </c>
      <c r="Y40" t="n">
        <v>-67.14</v>
      </c>
      <c r="Z40" t="n">
        <v>65.48999999999999</v>
      </c>
      <c r="AA40" t="n">
        <v>91.2</v>
      </c>
      <c r="AE40" t="n">
        <v>0.2358</v>
      </c>
      <c r="AF40" t="n">
        <v>1.08</v>
      </c>
      <c r="AG40" t="n">
        <v>0.36801</v>
      </c>
      <c r="AH40" t="n">
        <v>0.5429</v>
      </c>
    </row>
    <row r="41">
      <c r="A41" t="inlineStr">
        <is>
          <t>M6gas</t>
        </is>
      </c>
      <c r="B41" t="inlineStr">
        <is>
          <t>1,2,4,5-Tetrachlorobenzene</t>
        </is>
      </c>
      <c r="C41" t="inlineStr">
        <is>
          <t>1,2,4,5-TetraCl</t>
        </is>
      </c>
      <c r="D41" t="inlineStr">
        <is>
          <t>ClBz_1245</t>
        </is>
      </c>
      <c r="E41" t="inlineStr">
        <is>
          <t>chlorobenzene</t>
        </is>
      </c>
      <c r="F41" t="n">
        <v>0.295230167</v>
      </c>
      <c r="H41" t="n">
        <v>-1.22</v>
      </c>
      <c r="I41" t="n">
        <v>-0.745</v>
      </c>
      <c r="J41" t="n">
        <v>3.0294</v>
      </c>
      <c r="K41" t="n">
        <v>-0.27</v>
      </c>
      <c r="L41" t="n">
        <v>-54.94</v>
      </c>
      <c r="M41" t="n">
        <v>-9.35</v>
      </c>
      <c r="N41" t="n">
        <v>9.08</v>
      </c>
      <c r="O41" t="n">
        <v>-45.58</v>
      </c>
      <c r="P41" t="n">
        <v>4</v>
      </c>
      <c r="Q41" t="n">
        <v>-0.09</v>
      </c>
      <c r="R41" t="n">
        <v>0.21</v>
      </c>
      <c r="S41" t="n">
        <v>1.135</v>
      </c>
      <c r="U41" t="n">
        <v>-9.35</v>
      </c>
      <c r="V41" t="n">
        <v>9.08</v>
      </c>
      <c r="W41" t="n">
        <v>-45.58</v>
      </c>
      <c r="X41" t="n">
        <v>-416.53</v>
      </c>
      <c r="Y41" t="n">
        <v>-54.67</v>
      </c>
      <c r="Z41" t="n">
        <v>19.45</v>
      </c>
      <c r="AA41" t="n">
        <v>93.13</v>
      </c>
      <c r="AE41" t="n">
        <v>0.1501</v>
      </c>
      <c r="AF41" t="n">
        <v>1.0771</v>
      </c>
      <c r="AG41" t="n">
        <v>0.04014</v>
      </c>
      <c r="AH41" t="n">
        <v>0.0483</v>
      </c>
    </row>
    <row r="42">
      <c r="A42" t="inlineStr">
        <is>
          <t>M6gas</t>
        </is>
      </c>
      <c r="B42" t="inlineStr">
        <is>
          <t>1,2-Dichlorobenzene</t>
        </is>
      </c>
      <c r="C42" t="inlineStr">
        <is>
          <t>1,2-DiCl</t>
        </is>
      </c>
      <c r="D42" t="inlineStr">
        <is>
          <t>ClBz_12</t>
        </is>
      </c>
      <c r="E42" t="inlineStr">
        <is>
          <t>chlorobenzene</t>
        </is>
      </c>
      <c r="F42" t="n">
        <v>0.042852127</v>
      </c>
      <c r="H42" t="n">
        <v>-3.15</v>
      </c>
      <c r="I42" t="n">
        <v>-0.158</v>
      </c>
      <c r="J42" t="n">
        <v>2.233</v>
      </c>
      <c r="K42" t="n">
        <v>0.5</v>
      </c>
      <c r="L42" t="n">
        <v>-39.66</v>
      </c>
      <c r="M42" t="n">
        <v>-4.66</v>
      </c>
      <c r="N42" t="n">
        <v>5.15</v>
      </c>
      <c r="O42" t="n">
        <v>-35.01</v>
      </c>
      <c r="P42" t="n">
        <v>2</v>
      </c>
      <c r="Q42" t="n">
        <v>-0.791</v>
      </c>
      <c r="S42" t="n">
        <v>0.905</v>
      </c>
      <c r="X42" t="n">
        <v>-414.55</v>
      </c>
      <c r="Y42" t="n">
        <v>-40.16</v>
      </c>
      <c r="AA42" t="n">
        <v>93.47</v>
      </c>
      <c r="AE42" t="n">
        <v>0.1588</v>
      </c>
      <c r="AF42" t="n">
        <v>1.0691</v>
      </c>
      <c r="AH42" t="n">
        <v>0.7839</v>
      </c>
    </row>
    <row r="43">
      <c r="A43" t="inlineStr">
        <is>
          <t>M6gas</t>
        </is>
      </c>
      <c r="B43" t="inlineStr">
        <is>
          <t>1,4-Dichlorobenzene</t>
        </is>
      </c>
      <c r="C43" t="inlineStr">
        <is>
          <t>1,4-DiCl</t>
        </is>
      </c>
      <c r="D43" t="inlineStr">
        <is>
          <t>ClBz_14</t>
        </is>
      </c>
      <c r="E43" t="inlineStr">
        <is>
          <t>chlorobenzene</t>
        </is>
      </c>
      <c r="F43" t="n">
        <v>0.000905247</v>
      </c>
      <c r="H43" t="n">
        <v>-7.0073</v>
      </c>
      <c r="I43" t="n">
        <v>-0.236</v>
      </c>
      <c r="J43" t="n">
        <v>3.0384</v>
      </c>
      <c r="K43" t="n">
        <v>1.52</v>
      </c>
      <c r="L43" t="n">
        <v>-30.91</v>
      </c>
      <c r="M43" t="n">
        <v>6.5</v>
      </c>
      <c r="N43" t="n">
        <v>-4.97</v>
      </c>
      <c r="O43" t="n">
        <v>-37.41</v>
      </c>
      <c r="P43" t="n">
        <v>2</v>
      </c>
      <c r="Q43" t="n">
        <v>-0.72</v>
      </c>
      <c r="R43" t="n">
        <v>-0.492</v>
      </c>
      <c r="S43" t="n">
        <v>0.911</v>
      </c>
      <c r="U43" t="n">
        <v>6.5</v>
      </c>
      <c r="V43" t="n">
        <v>-4.97</v>
      </c>
      <c r="W43" t="n">
        <v>-37.41</v>
      </c>
      <c r="X43" t="n">
        <v>-413.02</v>
      </c>
      <c r="Y43" t="n">
        <v>-32.43</v>
      </c>
      <c r="Z43" t="n">
        <v>13.3</v>
      </c>
      <c r="AA43" t="n">
        <v>94.37</v>
      </c>
      <c r="AE43" t="n">
        <v>0.1423</v>
      </c>
      <c r="AF43" t="n">
        <v>1.0586</v>
      </c>
      <c r="AG43" t="n">
        <v>0.02006</v>
      </c>
      <c r="AH43" t="n">
        <v>0.0516</v>
      </c>
    </row>
    <row r="44">
      <c r="A44" t="inlineStr">
        <is>
          <t>M6SMD</t>
        </is>
      </c>
      <c r="B44" t="inlineStr">
        <is>
          <t>Bromobenzene</t>
        </is>
      </c>
      <c r="C44" t="inlineStr">
        <is>
          <t>MonoBr</t>
        </is>
      </c>
      <c r="D44" t="inlineStr">
        <is>
          <t>BrBz_1</t>
        </is>
      </c>
      <c r="E44" t="inlineStr">
        <is>
          <t>bromobenzene</t>
        </is>
      </c>
      <c r="F44" t="n">
        <v>0.002</v>
      </c>
      <c r="G44" t="n">
        <v>0.00021</v>
      </c>
      <c r="H44" t="n">
        <v>-6.2146</v>
      </c>
      <c r="I44" t="n">
        <v>0.108</v>
      </c>
      <c r="J44" t="n">
        <v>-1.3622</v>
      </c>
      <c r="K44" t="n">
        <v>-58.53</v>
      </c>
      <c r="L44" t="n">
        <v>-143.45</v>
      </c>
      <c r="M44" t="n">
        <v>-57.07</v>
      </c>
      <c r="N44" t="n">
        <v>-1.45</v>
      </c>
      <c r="O44" t="n">
        <v>-86.37</v>
      </c>
      <c r="P44" t="n">
        <v>1</v>
      </c>
      <c r="Q44" t="n">
        <v>0.995</v>
      </c>
      <c r="S44" t="n">
        <v>1.339</v>
      </c>
      <c r="X44" t="n">
        <v>-208.14</v>
      </c>
      <c r="Y44" t="n">
        <v>-84.92</v>
      </c>
      <c r="AA44" t="n">
        <v>77.27</v>
      </c>
      <c r="AB44" t="n">
        <v>27.21</v>
      </c>
      <c r="AC44" t="n">
        <v>24.32</v>
      </c>
      <c r="AD44" t="n">
        <v>24.32</v>
      </c>
      <c r="AE44" t="n">
        <v>0.1078</v>
      </c>
      <c r="AF44" t="n">
        <v>1.0326</v>
      </c>
      <c r="AH44" t="n">
        <v>2.9934</v>
      </c>
    </row>
    <row r="45">
      <c r="A45" t="inlineStr">
        <is>
          <t>M6SMD</t>
        </is>
      </c>
      <c r="B45" t="inlineStr">
        <is>
          <t>1,4-Dibromobenzene</t>
        </is>
      </c>
      <c r="C45" t="inlineStr">
        <is>
          <t>1,4-DiBr</t>
        </is>
      </c>
      <c r="D45" t="inlineStr">
        <is>
          <t>BrBz_14</t>
        </is>
      </c>
      <c r="E45" t="inlineStr">
        <is>
          <t>bromobenzene</t>
        </is>
      </c>
      <c r="F45" t="n">
        <v>0.012</v>
      </c>
      <c r="G45" t="n">
        <v>0.0014</v>
      </c>
      <c r="H45" t="n">
        <v>-4.4228</v>
      </c>
      <c r="I45" t="n">
        <v>-0.129</v>
      </c>
      <c r="J45" t="n">
        <v>0.09470000000000001</v>
      </c>
      <c r="K45" t="n">
        <v>-59.17</v>
      </c>
      <c r="L45" t="n">
        <v>-147.54</v>
      </c>
      <c r="M45" t="n">
        <v>-38.03</v>
      </c>
      <c r="N45" t="n">
        <v>-21.14</v>
      </c>
      <c r="O45" t="n">
        <v>-109.51</v>
      </c>
      <c r="P45" t="n">
        <v>2</v>
      </c>
      <c r="Q45" t="n">
        <v>1.228</v>
      </c>
      <c r="R45" t="n">
        <v>1.454</v>
      </c>
      <c r="S45" t="n">
        <v>1.48</v>
      </c>
      <c r="T45" t="n">
        <v>-2.632</v>
      </c>
      <c r="U45" t="n">
        <v>-38.03</v>
      </c>
      <c r="V45" t="n">
        <v>-21.14</v>
      </c>
      <c r="W45" t="n">
        <v>-109.51</v>
      </c>
      <c r="X45" t="n">
        <v>-210.15</v>
      </c>
      <c r="Y45" t="n">
        <v>-88.37</v>
      </c>
      <c r="Z45" t="n">
        <v>13.75</v>
      </c>
      <c r="AA45" t="n">
        <v>77.02</v>
      </c>
      <c r="AB45" t="n">
        <v>26.73</v>
      </c>
      <c r="AC45" t="n">
        <v>23.12932</v>
      </c>
      <c r="AD45" t="n">
        <v>23.12932</v>
      </c>
      <c r="AE45" t="n">
        <v>0.1148</v>
      </c>
      <c r="AF45" t="n">
        <v>1.0385</v>
      </c>
      <c r="AG45" t="n">
        <v>0.03368</v>
      </c>
      <c r="AH45" t="n">
        <v>0.0447</v>
      </c>
    </row>
    <row r="46">
      <c r="A46" t="inlineStr">
        <is>
          <t>M6SMD</t>
        </is>
      </c>
      <c r="B46" t="inlineStr">
        <is>
          <t>1,3-Dibromobenzene</t>
        </is>
      </c>
      <c r="C46" t="inlineStr">
        <is>
          <t>1,3-DiBr</t>
        </is>
      </c>
      <c r="D46" t="inlineStr">
        <is>
          <t>BrBz_13</t>
        </is>
      </c>
      <c r="E46" t="inlineStr">
        <is>
          <t>bromobenzene</t>
        </is>
      </c>
      <c r="F46" t="n">
        <v>0.0329</v>
      </c>
      <c r="G46" t="n">
        <v>0.0031</v>
      </c>
      <c r="H46" t="n">
        <v>-3.4143</v>
      </c>
      <c r="I46" t="n">
        <v>-0.101</v>
      </c>
      <c r="J46" t="n">
        <v>-0.9762999999999999</v>
      </c>
      <c r="K46" t="n">
        <v>-60.07</v>
      </c>
      <c r="L46" t="n">
        <v>-149.49</v>
      </c>
      <c r="M46" t="n">
        <v>-57.88</v>
      </c>
      <c r="N46" t="n">
        <v>-2.19</v>
      </c>
      <c r="O46" t="n">
        <v>-91.61</v>
      </c>
      <c r="P46" t="n">
        <v>2</v>
      </c>
      <c r="Q46" t="n">
        <v>1.243</v>
      </c>
      <c r="S46" t="n">
        <v>1.503</v>
      </c>
      <c r="X46" t="n">
        <v>-210.21</v>
      </c>
      <c r="Y46" t="n">
        <v>-89.42</v>
      </c>
      <c r="AA46" t="n">
        <v>76.25</v>
      </c>
      <c r="AB46" t="n">
        <v>26.53</v>
      </c>
      <c r="AC46" t="n">
        <v>22.51932</v>
      </c>
      <c r="AD46" t="n">
        <v>22.51932</v>
      </c>
      <c r="AE46" t="n">
        <v>0.1492</v>
      </c>
      <c r="AF46" t="n">
        <v>1.0397</v>
      </c>
      <c r="AH46" t="n">
        <v>0.0053</v>
      </c>
    </row>
    <row r="47">
      <c r="A47" t="inlineStr">
        <is>
          <t>M6SMD</t>
        </is>
      </c>
      <c r="B47" t="inlineStr">
        <is>
          <t>1,2,4-Tribromobenzene</t>
        </is>
      </c>
      <c r="C47" t="inlineStr">
        <is>
          <t>1,2,4-TriBr</t>
        </is>
      </c>
      <c r="D47" t="inlineStr">
        <is>
          <t>BrBz_124</t>
        </is>
      </c>
      <c r="E47" t="inlineStr">
        <is>
          <t>bromobenzene</t>
        </is>
      </c>
      <c r="F47" t="n">
        <v>0.55</v>
      </c>
      <c r="G47" t="n">
        <v>0.082</v>
      </c>
      <c r="H47" t="n">
        <v>-0.5978</v>
      </c>
      <c r="I47" t="n">
        <v>-0.355</v>
      </c>
      <c r="J47" t="n">
        <v>-0.8757</v>
      </c>
      <c r="K47" t="n">
        <v>-61.34</v>
      </c>
      <c r="L47" t="n">
        <v>-159.44</v>
      </c>
      <c r="M47" t="n">
        <v>-60.65</v>
      </c>
      <c r="N47" t="n">
        <v>-0.6899999999999999</v>
      </c>
      <c r="O47" t="n">
        <v>-98.79000000000001</v>
      </c>
      <c r="P47" t="n">
        <v>3</v>
      </c>
      <c r="Q47" t="n">
        <v>1.456</v>
      </c>
      <c r="S47" t="n">
        <v>1.641</v>
      </c>
      <c r="X47" t="n">
        <v>-212.51</v>
      </c>
      <c r="Y47" t="n">
        <v>-98.09999999999999</v>
      </c>
      <c r="AA47" t="n">
        <v>74.67</v>
      </c>
      <c r="AB47" t="n">
        <v>25.79</v>
      </c>
      <c r="AC47" t="n">
        <v>21.28974</v>
      </c>
      <c r="AD47" t="n">
        <v>21.28974</v>
      </c>
      <c r="AE47" t="n">
        <v>0.1495</v>
      </c>
      <c r="AF47" t="n">
        <v>1.0447</v>
      </c>
      <c r="AH47" t="n">
        <v>0.7661</v>
      </c>
    </row>
    <row r="48">
      <c r="A48" t="inlineStr">
        <is>
          <t>M6SMD</t>
        </is>
      </c>
      <c r="B48" t="inlineStr">
        <is>
          <t>1,3,5-Tribromobenzene</t>
        </is>
      </c>
      <c r="C48" t="inlineStr">
        <is>
          <t>1,3,5-TriBr</t>
        </is>
      </c>
      <c r="D48" t="inlineStr">
        <is>
          <t>BrBz_135</t>
        </is>
      </c>
      <c r="E48" t="inlineStr">
        <is>
          <t>bromobenzene</t>
        </is>
      </c>
      <c r="F48" t="n">
        <v>0.9</v>
      </c>
      <c r="G48" t="n">
        <v>0.15</v>
      </c>
      <c r="H48" t="n">
        <v>-0.1054</v>
      </c>
      <c r="I48" t="n">
        <v>-0.424</v>
      </c>
      <c r="J48" t="n">
        <v>-0.7437</v>
      </c>
      <c r="K48" t="n">
        <v>-60.43</v>
      </c>
      <c r="L48" t="n">
        <v>-154.81</v>
      </c>
      <c r="M48" t="n">
        <v>-59.76</v>
      </c>
      <c r="N48" t="n">
        <v>-0.67</v>
      </c>
      <c r="O48" t="n">
        <v>-95.04000000000001</v>
      </c>
      <c r="P48" t="n">
        <v>3</v>
      </c>
      <c r="Q48" t="n">
        <v>1.477</v>
      </c>
      <c r="S48" t="n">
        <v>1.678</v>
      </c>
      <c r="X48" t="n">
        <v>-211.53</v>
      </c>
      <c r="Y48" t="n">
        <v>-94.37</v>
      </c>
      <c r="AA48" t="n">
        <v>75.39</v>
      </c>
      <c r="AB48" t="n">
        <v>25.98</v>
      </c>
      <c r="AC48" t="n">
        <v>21.55909</v>
      </c>
      <c r="AD48" t="n">
        <v>21.55909</v>
      </c>
      <c r="AE48" t="n">
        <v>0.122</v>
      </c>
      <c r="AF48" t="n">
        <v>1.047</v>
      </c>
      <c r="AH48" t="n">
        <v>1.0271</v>
      </c>
    </row>
    <row r="49">
      <c r="A49" t="inlineStr">
        <is>
          <t>M6SMD</t>
        </is>
      </c>
      <c r="B49" t="inlineStr">
        <is>
          <t>1,2,4,5-Tetrabromobenzene</t>
        </is>
      </c>
      <c r="C49" t="inlineStr">
        <is>
          <t>1,2,4,5-TetrBr</t>
        </is>
      </c>
      <c r="D49" t="inlineStr">
        <is>
          <t>BrBz_1245</t>
        </is>
      </c>
      <c r="E49" t="inlineStr">
        <is>
          <t>bromobenzene</t>
        </is>
      </c>
      <c r="F49" t="n">
        <v>2.5</v>
      </c>
      <c r="G49" t="n">
        <v>0.28</v>
      </c>
      <c r="H49" t="n">
        <v>0.9163</v>
      </c>
      <c r="I49" t="n">
        <v>-0.646</v>
      </c>
      <c r="J49" t="n">
        <v>-0.975</v>
      </c>
      <c r="K49" t="n">
        <v>-62.05</v>
      </c>
      <c r="L49" t="n">
        <v>-163.23</v>
      </c>
      <c r="M49" t="n">
        <v>-63.06</v>
      </c>
      <c r="N49" t="n">
        <v>1.02</v>
      </c>
      <c r="O49" t="n">
        <v>-100.17</v>
      </c>
      <c r="P49" t="n">
        <v>4</v>
      </c>
      <c r="Q49" t="n">
        <v>1.69</v>
      </c>
      <c r="S49" t="n">
        <v>1.811</v>
      </c>
      <c r="X49" t="n">
        <v>-214.59</v>
      </c>
      <c r="Y49" t="n">
        <v>-101.19</v>
      </c>
      <c r="AA49" t="n">
        <v>74.73</v>
      </c>
      <c r="AB49" t="n">
        <v>25.53</v>
      </c>
      <c r="AC49" t="n">
        <v>20.19864</v>
      </c>
      <c r="AD49" t="n">
        <v>20.19864</v>
      </c>
      <c r="AE49" t="n">
        <v>0.1409</v>
      </c>
      <c r="AF49" t="n">
        <v>1.0553</v>
      </c>
      <c r="AH49" t="n">
        <v>0.008800000000000001</v>
      </c>
    </row>
    <row r="50">
      <c r="A50" t="inlineStr">
        <is>
          <t>M6SMD</t>
        </is>
      </c>
      <c r="B50" t="inlineStr">
        <is>
          <t>Hexabromobenzene</t>
        </is>
      </c>
      <c r="C50" t="inlineStr">
        <is>
          <t>HexaBr</t>
        </is>
      </c>
      <c r="D50" t="inlineStr">
        <is>
          <t>BrBz_123456</t>
        </is>
      </c>
      <c r="E50" t="inlineStr">
        <is>
          <t>bromobenzene</t>
        </is>
      </c>
      <c r="F50" t="n">
        <v>10</v>
      </c>
      <c r="G50" t="n">
        <v>1.3</v>
      </c>
      <c r="H50" t="n">
        <v>2.3026</v>
      </c>
      <c r="I50" t="n">
        <v>-1.572</v>
      </c>
      <c r="J50" t="n">
        <v>-1.6485</v>
      </c>
      <c r="K50" t="n">
        <v>-66.95999999999999</v>
      </c>
      <c r="L50" t="n">
        <v>-176.96</v>
      </c>
      <c r="M50" t="n">
        <v>-70.98999999999999</v>
      </c>
      <c r="N50" t="n">
        <v>4.03</v>
      </c>
      <c r="O50" t="n">
        <v>-105.97</v>
      </c>
      <c r="P50" t="n">
        <v>6</v>
      </c>
      <c r="Q50" t="n">
        <v>2.265</v>
      </c>
      <c r="R50" t="n">
        <v>2.941</v>
      </c>
      <c r="S50" t="n">
        <v>2.284</v>
      </c>
      <c r="T50" t="n">
        <v>-1.203</v>
      </c>
      <c r="U50" t="n">
        <v>-70.98999999999999</v>
      </c>
      <c r="V50" t="n">
        <v>4.03</v>
      </c>
      <c r="W50" t="n">
        <v>-105.97</v>
      </c>
      <c r="X50" t="n">
        <v>-218.95</v>
      </c>
      <c r="Y50" t="n">
        <v>-110</v>
      </c>
      <c r="Z50" t="n">
        <v>56.46</v>
      </c>
      <c r="AA50" t="n">
        <v>69.8</v>
      </c>
      <c r="AB50" t="n">
        <v>23.84</v>
      </c>
      <c r="AC50" t="n">
        <v>16.13841</v>
      </c>
      <c r="AD50" t="n">
        <v>16.13841</v>
      </c>
      <c r="AE50" t="n">
        <v>0.1666</v>
      </c>
      <c r="AF50" t="n">
        <v>1.0656</v>
      </c>
      <c r="AG50" t="n">
        <v>0.01853</v>
      </c>
      <c r="AH50" t="n">
        <v>0.0138</v>
      </c>
    </row>
    <row r="51">
      <c r="A51" t="inlineStr">
        <is>
          <t>M6SMD</t>
        </is>
      </c>
      <c r="B51" t="inlineStr">
        <is>
          <t>BDE-47</t>
        </is>
      </c>
      <c r="C51" t="inlineStr">
        <is>
          <t>BDE-47</t>
        </is>
      </c>
      <c r="D51" t="inlineStr">
        <is>
          <t>BDE_24_24</t>
        </is>
      </c>
      <c r="E51" t="inlineStr">
        <is>
          <t>pbde</t>
        </is>
      </c>
      <c r="F51" t="n">
        <v>0.078</v>
      </c>
      <c r="G51" t="n">
        <v>0.018</v>
      </c>
      <c r="H51" t="n">
        <v>-2.551</v>
      </c>
      <c r="I51" t="n">
        <v>-0.454</v>
      </c>
      <c r="J51" t="n">
        <v>-0.8188</v>
      </c>
      <c r="K51" t="n">
        <v>-60.93</v>
      </c>
      <c r="L51" t="n">
        <v>-162.15</v>
      </c>
      <c r="M51" t="n">
        <v>-58.98</v>
      </c>
      <c r="N51" t="n">
        <v>-1.95</v>
      </c>
      <c r="O51" t="n">
        <v>-103.17</v>
      </c>
      <c r="P51" t="n">
        <v>4</v>
      </c>
      <c r="Q51" t="n">
        <v>1.353</v>
      </c>
      <c r="S51" t="n">
        <v>1.537</v>
      </c>
      <c r="X51" t="n">
        <v>-212.25</v>
      </c>
      <c r="Y51" t="n">
        <v>-101.22</v>
      </c>
      <c r="AA51" t="n">
        <v>75.47</v>
      </c>
      <c r="AB51" t="n">
        <v>24.82</v>
      </c>
      <c r="AC51" t="n">
        <v>20.29653</v>
      </c>
      <c r="AD51" t="n">
        <v>20.29653</v>
      </c>
      <c r="AE51" t="n">
        <v>0.1289</v>
      </c>
      <c r="AF51" t="n">
        <v>1.0374</v>
      </c>
      <c r="AH51" t="n">
        <v>1.1574</v>
      </c>
    </row>
    <row r="52">
      <c r="A52" t="inlineStr">
        <is>
          <t>M6SMD</t>
        </is>
      </c>
      <c r="B52" t="inlineStr">
        <is>
          <t>BDE-99</t>
        </is>
      </c>
      <c r="C52" t="inlineStr">
        <is>
          <t>BDE-99</t>
        </is>
      </c>
      <c r="D52" t="inlineStr">
        <is>
          <t>BDE_245_24</t>
        </is>
      </c>
      <c r="E52" t="inlineStr">
        <is>
          <t>pbde</t>
        </is>
      </c>
      <c r="F52" t="n">
        <v>0.45</v>
      </c>
      <c r="G52" t="n">
        <v>0.068</v>
      </c>
      <c r="H52" t="n">
        <v>-0.7985</v>
      </c>
      <c r="I52" t="n">
        <v>-0.613</v>
      </c>
      <c r="J52" t="n">
        <v>-1.0289</v>
      </c>
      <c r="K52" t="n">
        <v>-60.71</v>
      </c>
      <c r="L52" t="n">
        <v>-168.45</v>
      </c>
      <c r="M52" t="n">
        <v>-58.32</v>
      </c>
      <c r="N52" t="n">
        <v>-2.39</v>
      </c>
      <c r="O52" t="n">
        <v>-110.13</v>
      </c>
      <c r="P52" t="n">
        <v>5</v>
      </c>
      <c r="Q52" t="n">
        <v>1.48</v>
      </c>
      <c r="R52" t="n">
        <v>2.452</v>
      </c>
      <c r="S52" t="n">
        <v>1.636</v>
      </c>
      <c r="T52" t="n">
        <v>-1.752</v>
      </c>
      <c r="U52" t="n">
        <v>-58.32</v>
      </c>
      <c r="V52" t="n">
        <v>-2.39</v>
      </c>
      <c r="W52" t="n">
        <v>-110.13</v>
      </c>
      <c r="X52" t="n">
        <v>-212.98</v>
      </c>
      <c r="Y52" t="n">
        <v>-108.56</v>
      </c>
      <c r="Z52" t="n">
        <v>79.55</v>
      </c>
      <c r="AA52" t="n">
        <v>74.88</v>
      </c>
      <c r="AB52" t="n">
        <v>24.54</v>
      </c>
      <c r="AC52" t="n">
        <v>20.17854</v>
      </c>
      <c r="AD52" t="n">
        <v>20.17854</v>
      </c>
      <c r="AE52" t="n">
        <v>0.1132</v>
      </c>
      <c r="AF52" t="n">
        <v>1.0422</v>
      </c>
      <c r="AG52" t="n">
        <v>0.31706</v>
      </c>
      <c r="AH52" t="n">
        <v>0.7541</v>
      </c>
    </row>
    <row r="53">
      <c r="A53" t="inlineStr">
        <is>
          <t>M6SMD</t>
        </is>
      </c>
      <c r="B53" t="inlineStr">
        <is>
          <t>Hexachlorobenzene</t>
        </is>
      </c>
      <c r="C53" t="inlineStr">
        <is>
          <t>HexaCl</t>
        </is>
      </c>
      <c r="D53" t="inlineStr">
        <is>
          <t>ClBz_123456</t>
        </is>
      </c>
      <c r="E53" t="inlineStr">
        <is>
          <t>chlorobenzene</t>
        </is>
      </c>
      <c r="F53" t="n">
        <v>4.739304239</v>
      </c>
      <c r="H53" t="n">
        <v>1.5559</v>
      </c>
      <c r="I53" t="n">
        <v>-0.78</v>
      </c>
      <c r="J53" t="n">
        <v>-1.0397</v>
      </c>
      <c r="K53" t="n">
        <v>-65.64</v>
      </c>
      <c r="L53" t="n">
        <v>-180.17</v>
      </c>
      <c r="M53" t="n">
        <v>-63.14</v>
      </c>
      <c r="N53" t="n">
        <v>-2.5</v>
      </c>
      <c r="O53" t="n">
        <v>-117.03</v>
      </c>
      <c r="P53" t="n">
        <v>6</v>
      </c>
      <c r="Q53" t="n">
        <v>1.901</v>
      </c>
      <c r="R53" t="n">
        <v>2.538</v>
      </c>
      <c r="S53" t="n">
        <v>1.982</v>
      </c>
      <c r="T53" t="n">
        <v>-1.543</v>
      </c>
      <c r="U53" t="n">
        <v>-63.14</v>
      </c>
      <c r="V53" t="n">
        <v>-2.5</v>
      </c>
      <c r="W53" t="n">
        <v>-117.03</v>
      </c>
      <c r="X53" t="n">
        <v>-220</v>
      </c>
      <c r="Y53" t="n">
        <v>-114.54</v>
      </c>
      <c r="Z53" t="n">
        <v>32.79</v>
      </c>
      <c r="AA53" t="n">
        <v>91.34999999999999</v>
      </c>
      <c r="AB53" t="n">
        <v>29.54</v>
      </c>
      <c r="AC53" t="n">
        <v>22.32841</v>
      </c>
      <c r="AD53" t="n">
        <v>22.32841</v>
      </c>
      <c r="AE53" t="n">
        <v>0.2347</v>
      </c>
      <c r="AF53" t="n">
        <v>1.0858</v>
      </c>
      <c r="AG53" t="n">
        <v>0.07074999999999999</v>
      </c>
      <c r="AH53" t="n">
        <v>0.0492</v>
      </c>
    </row>
    <row r="54">
      <c r="A54" t="inlineStr">
        <is>
          <t>M6SMD</t>
        </is>
      </c>
      <c r="B54" t="inlineStr">
        <is>
          <t>Pentachlorobenzene</t>
        </is>
      </c>
      <c r="C54" t="inlineStr">
        <is>
          <t>PentaCl</t>
        </is>
      </c>
      <c r="D54" t="inlineStr">
        <is>
          <t>ClBz_12345</t>
        </is>
      </c>
      <c r="E54" t="inlineStr">
        <is>
          <t>chlorobenzene</t>
        </is>
      </c>
      <c r="F54" t="n">
        <v>0.197935943</v>
      </c>
      <c r="H54" t="n">
        <v>-1.6198</v>
      </c>
      <c r="I54" t="n">
        <v>-0.622</v>
      </c>
      <c r="J54" t="n">
        <v>-1.5758</v>
      </c>
      <c r="K54" t="n">
        <v>-65.01000000000001</v>
      </c>
      <c r="L54" t="n">
        <v>-177.44</v>
      </c>
      <c r="M54" t="n">
        <v>-65.34</v>
      </c>
      <c r="N54" t="n">
        <v>0.33</v>
      </c>
      <c r="O54" t="n">
        <v>-112.1</v>
      </c>
      <c r="P54" t="n">
        <v>5</v>
      </c>
      <c r="Q54" t="n">
        <v>1.782</v>
      </c>
      <c r="R54" t="n">
        <v>2.698</v>
      </c>
      <c r="S54" t="n">
        <v>1.881</v>
      </c>
      <c r="T54" t="n">
        <v>-1.448</v>
      </c>
      <c r="U54" t="n">
        <v>-65.34</v>
      </c>
      <c r="V54" t="n">
        <v>0.33</v>
      </c>
      <c r="W54" t="n">
        <v>-112.1</v>
      </c>
      <c r="X54" t="n">
        <v>-218.52</v>
      </c>
      <c r="Y54" t="n">
        <v>-112.43</v>
      </c>
      <c r="Z54" t="n">
        <v>81.84</v>
      </c>
      <c r="AA54" t="n">
        <v>91.56999999999999</v>
      </c>
      <c r="AB54" t="n">
        <v>29.79</v>
      </c>
      <c r="AC54" t="n">
        <v>23.30434</v>
      </c>
      <c r="AD54" t="n">
        <v>23.30434</v>
      </c>
      <c r="AE54" t="n">
        <v>0.2327</v>
      </c>
      <c r="AF54" t="n">
        <v>1.0752</v>
      </c>
      <c r="AG54" t="n">
        <v>0.3096</v>
      </c>
      <c r="AH54" t="n">
        <v>0.7349</v>
      </c>
    </row>
    <row r="55">
      <c r="A55" t="inlineStr">
        <is>
          <t>M6SMD</t>
        </is>
      </c>
      <c r="B55" t="inlineStr">
        <is>
          <t>1,2,4,5-Tetrachlorobenzene</t>
        </is>
      </c>
      <c r="C55" t="inlineStr">
        <is>
          <t>1,2,4,5-TetraCl</t>
        </is>
      </c>
      <c r="D55" t="inlineStr">
        <is>
          <t>ClBz_1245</t>
        </is>
      </c>
      <c r="E55" t="inlineStr">
        <is>
          <t>chlorobenzene</t>
        </is>
      </c>
      <c r="F55" t="n">
        <v>0.295230167</v>
      </c>
      <c r="H55" t="n">
        <v>-1.22</v>
      </c>
      <c r="I55" t="n">
        <v>-0.47</v>
      </c>
      <c r="J55" t="n">
        <v>-0.0639</v>
      </c>
      <c r="K55" t="n">
        <v>-63.8</v>
      </c>
      <c r="L55" t="n">
        <v>-166.28</v>
      </c>
      <c r="M55" t="n">
        <v>-48.54</v>
      </c>
      <c r="N55" t="n">
        <v>-15.26</v>
      </c>
      <c r="O55" t="n">
        <v>-117.74</v>
      </c>
      <c r="P55" t="n">
        <v>4</v>
      </c>
      <c r="Q55" t="n">
        <v>1.664</v>
      </c>
      <c r="R55" t="n">
        <v>1.905</v>
      </c>
      <c r="S55" t="n">
        <v>1.783</v>
      </c>
      <c r="T55" t="n">
        <v>-2.176</v>
      </c>
      <c r="U55" t="n">
        <v>-48.54</v>
      </c>
      <c r="V55" t="n">
        <v>-15.26</v>
      </c>
      <c r="W55" t="n">
        <v>-117.74</v>
      </c>
      <c r="X55" t="n">
        <v>-217.06</v>
      </c>
      <c r="Y55" t="n">
        <v>-102.48</v>
      </c>
      <c r="Z55" t="n">
        <v>15.49</v>
      </c>
      <c r="AA55" t="n">
        <v>93.41</v>
      </c>
      <c r="AB55" t="n">
        <v>30.47</v>
      </c>
      <c r="AC55" t="n">
        <v>24.30864</v>
      </c>
      <c r="AD55" t="n">
        <v>24.30864</v>
      </c>
      <c r="AE55" t="n">
        <v>0.1362</v>
      </c>
      <c r="AF55" t="n">
        <v>1.07</v>
      </c>
      <c r="AG55" t="n">
        <v>0.02793</v>
      </c>
      <c r="AH55" t="n">
        <v>0.0312</v>
      </c>
    </row>
    <row r="56">
      <c r="A56" t="inlineStr">
        <is>
          <t>M6SMD</t>
        </is>
      </c>
      <c r="B56" t="inlineStr">
        <is>
          <t>1,2-Dichlorobenzene</t>
        </is>
      </c>
      <c r="C56" t="inlineStr">
        <is>
          <t>1,2-DiCl</t>
        </is>
      </c>
      <c r="D56" t="inlineStr">
        <is>
          <t>ClBz_12</t>
        </is>
      </c>
      <c r="E56" t="inlineStr">
        <is>
          <t>chlorobenzene</t>
        </is>
      </c>
      <c r="F56" t="n">
        <v>0.042852127</v>
      </c>
      <c r="H56" t="n">
        <v>-3.15</v>
      </c>
      <c r="I56" t="n">
        <v>0.019</v>
      </c>
      <c r="J56" t="n">
        <v>0.1793</v>
      </c>
      <c r="K56" t="n">
        <v>-62.83</v>
      </c>
      <c r="L56" t="n">
        <v>-158.44</v>
      </c>
      <c r="M56" t="n">
        <v>-37.86</v>
      </c>
      <c r="N56" t="n">
        <v>-24.97</v>
      </c>
      <c r="O56" t="n">
        <v>-120.58</v>
      </c>
      <c r="P56" t="n">
        <v>2</v>
      </c>
      <c r="Q56" t="n">
        <v>1.21</v>
      </c>
      <c r="R56" t="n">
        <v>1.409</v>
      </c>
      <c r="S56" t="n">
        <v>1.474</v>
      </c>
      <c r="T56" t="n">
        <v>-2.639</v>
      </c>
      <c r="U56" t="n">
        <v>-37.86</v>
      </c>
      <c r="V56" t="n">
        <v>-24.97</v>
      </c>
      <c r="W56" t="n">
        <v>-120.58</v>
      </c>
      <c r="X56" t="n">
        <v>-214.38</v>
      </c>
      <c r="Y56" t="n">
        <v>-95.61</v>
      </c>
      <c r="Z56" t="n">
        <v>10.23</v>
      </c>
      <c r="AA56" t="n">
        <v>93.98</v>
      </c>
      <c r="AB56" t="n">
        <v>31.15</v>
      </c>
      <c r="AC56" t="n">
        <v>25.83932</v>
      </c>
      <c r="AD56" t="n">
        <v>25.83932</v>
      </c>
      <c r="AE56" t="n">
        <v>0.1304</v>
      </c>
      <c r="AF56" t="n">
        <v>1.0577</v>
      </c>
      <c r="AG56" t="n">
        <v>0.01308</v>
      </c>
      <c r="AH56" t="n">
        <v>0.0196</v>
      </c>
    </row>
    <row r="57">
      <c r="A57" t="inlineStr">
        <is>
          <t>M6SMD</t>
        </is>
      </c>
      <c r="B57" t="inlineStr">
        <is>
          <t>1,4-Dichlorobenzene</t>
        </is>
      </c>
      <c r="C57" t="inlineStr">
        <is>
          <t>1,4-DiCl</t>
        </is>
      </c>
      <c r="D57" t="inlineStr">
        <is>
          <t>ClBz_14</t>
        </is>
      </c>
      <c r="E57" t="inlineStr">
        <is>
          <t>chlorobenzene</t>
        </is>
      </c>
      <c r="F57" t="n">
        <v>0.000905247</v>
      </c>
      <c r="H57" t="n">
        <v>-7.0073</v>
      </c>
      <c r="I57" t="n">
        <v>-0.014</v>
      </c>
      <c r="J57" t="n">
        <v>0.1467</v>
      </c>
      <c r="K57" t="n">
        <v>-61.79</v>
      </c>
      <c r="L57" t="n">
        <v>-150.05</v>
      </c>
      <c r="M57" t="n">
        <v>-40.22</v>
      </c>
      <c r="N57" t="n">
        <v>-21.57</v>
      </c>
      <c r="O57" t="n">
        <v>-109.84</v>
      </c>
      <c r="P57" t="n">
        <v>2</v>
      </c>
      <c r="Q57" t="n">
        <v>1.249</v>
      </c>
      <c r="R57" t="n">
        <v>1.449</v>
      </c>
      <c r="S57" t="n">
        <v>1.486</v>
      </c>
      <c r="T57" t="n">
        <v>-2.537</v>
      </c>
      <c r="U57" t="n">
        <v>-40.22</v>
      </c>
      <c r="V57" t="n">
        <v>-21.57</v>
      </c>
      <c r="W57" t="n">
        <v>-109.84</v>
      </c>
      <c r="X57" t="n">
        <v>-212.81</v>
      </c>
      <c r="Y57" t="n">
        <v>-88.27</v>
      </c>
      <c r="Z57" t="n">
        <v>9.4</v>
      </c>
      <c r="AA57" t="n">
        <v>94.90000000000001</v>
      </c>
      <c r="AB57" t="n">
        <v>31.38</v>
      </c>
      <c r="AC57" t="n">
        <v>26.53932</v>
      </c>
      <c r="AD57" t="n">
        <v>26.53932</v>
      </c>
      <c r="AE57" t="n">
        <v>0.1123</v>
      </c>
      <c r="AF57" t="n">
        <v>1.0475</v>
      </c>
      <c r="AG57" t="n">
        <v>0.00616</v>
      </c>
      <c r="AH57" t="n">
        <v>0.0252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min_dG_rad_red_kcal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min_dG_rad_red_kcal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min_dG_rad_red_kcal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-23.94</v>
      </c>
      <c r="B2" t="n">
        <v>-6.2146</v>
      </c>
      <c r="C2" t="inlineStr">
        <is>
          <t>MonoBr</t>
        </is>
      </c>
      <c r="D2" t="n">
        <v>0.105</v>
      </c>
      <c r="G2" t="n">
        <v>-71.45</v>
      </c>
      <c r="H2" t="n">
        <v>1.5559</v>
      </c>
      <c r="I2" t="inlineStr">
        <is>
          <t>HexaCl</t>
        </is>
      </c>
      <c r="K2" t="n">
        <v>-59.15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-33.64</v>
      </c>
      <c r="B3" t="n">
        <v>-4.4228</v>
      </c>
      <c r="C3" t="inlineStr">
        <is>
          <t>1,4-DiBr</t>
        </is>
      </c>
      <c r="D3" t="n">
        <v>0.1167</v>
      </c>
      <c r="G3" t="n">
        <v>-68.09999999999999</v>
      </c>
      <c r="H3" t="n">
        <v>-1.6198</v>
      </c>
      <c r="I3" t="inlineStr">
        <is>
          <t>PentaCl</t>
        </is>
      </c>
      <c r="K3" t="n">
        <v>-69.59999999999999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-36.39</v>
      </c>
      <c r="B4" t="n">
        <v>-3.4143</v>
      </c>
      <c r="C4" t="inlineStr">
        <is>
          <t>1,3-DiBr</t>
        </is>
      </c>
      <c r="D4" t="n">
        <v>0.09420000000000001</v>
      </c>
      <c r="G4" t="n">
        <v>-54.95</v>
      </c>
      <c r="H4" t="n">
        <v>-1.22</v>
      </c>
      <c r="I4" t="inlineStr">
        <is>
          <t>1,2,4,5-TetraCl</t>
        </is>
      </c>
    </row>
    <row r="5">
      <c r="A5" t="n">
        <v>-52.41</v>
      </c>
      <c r="B5" t="n">
        <v>-0.5978</v>
      </c>
      <c r="C5" t="inlineStr">
        <is>
          <t>1,2,4-TriBr</t>
        </is>
      </c>
      <c r="D5" t="n">
        <v>0.1491</v>
      </c>
      <c r="G5" t="n">
        <v>-40.69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-47.86</v>
      </c>
      <c r="B6" t="n">
        <v>-0.1054</v>
      </c>
      <c r="C6" t="inlineStr">
        <is>
          <t>1,3,5-TriBr</t>
        </is>
      </c>
      <c r="D6" t="n">
        <v>0.1667</v>
      </c>
      <c r="G6" t="n">
        <v>-32.62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-57.37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-72.5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(uncompensated potential, without iR-drop compensation)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0.95,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mergeCells count="1">
    <mergeCell ref="S17:W35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min_dG_RA_2e_any_kcal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min_dG_RA_2e_any_kcal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min_dG_RA_2e_any_kcal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-24.39</v>
      </c>
      <c r="B2" t="n">
        <v>-6.2146</v>
      </c>
      <c r="C2" t="inlineStr">
        <is>
          <t>MonoBr</t>
        </is>
      </c>
      <c r="D2" t="n">
        <v>0.105</v>
      </c>
      <c r="G2" t="n">
        <v>-49.07</v>
      </c>
      <c r="H2" t="n">
        <v>1.5559</v>
      </c>
      <c r="I2" t="inlineStr">
        <is>
          <t>HexaCl</t>
        </is>
      </c>
      <c r="K2" t="n">
        <v>-46.38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-28.48</v>
      </c>
      <c r="B3" t="n">
        <v>-4.4228</v>
      </c>
      <c r="C3" t="inlineStr">
        <is>
          <t>1,4-DiBr</t>
        </is>
      </c>
      <c r="D3" t="n">
        <v>0.1167</v>
      </c>
      <c r="G3" t="n">
        <v>-50.37</v>
      </c>
      <c r="H3" t="n">
        <v>-1.6198</v>
      </c>
      <c r="I3" t="inlineStr">
        <is>
          <t>PentaCl</t>
        </is>
      </c>
      <c r="K3" t="n">
        <v>-61.35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-30.98</v>
      </c>
      <c r="B4" t="n">
        <v>-3.4143</v>
      </c>
      <c r="C4" t="inlineStr">
        <is>
          <t>1,3-DiBr</t>
        </is>
      </c>
      <c r="D4" t="n">
        <v>0.09420000000000001</v>
      </c>
      <c r="G4" t="n">
        <v>-41.14</v>
      </c>
      <c r="H4" t="n">
        <v>-1.22</v>
      </c>
      <c r="I4" t="inlineStr">
        <is>
          <t>1,2,4,5-TetraCl</t>
        </is>
      </c>
    </row>
    <row r="5">
      <c r="A5" t="n">
        <v>-42.44</v>
      </c>
      <c r="B5" t="n">
        <v>-0.5978</v>
      </c>
      <c r="C5" t="inlineStr">
        <is>
          <t>1,2,4-TriBr</t>
        </is>
      </c>
      <c r="D5" t="n">
        <v>0.1491</v>
      </c>
      <c r="G5" t="n">
        <v>-36.01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-36</v>
      </c>
      <c r="B6" t="n">
        <v>-0.1054</v>
      </c>
      <c r="C6" t="inlineStr">
        <is>
          <t>1,3,5-TriBr</t>
        </is>
      </c>
      <c r="D6" t="n">
        <v>0.1667</v>
      </c>
      <c r="G6" t="n">
        <v>-41.79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-43.71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-50.39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0.92,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min_dG_frag_any_kcal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min_dG_frag_any_kcal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min_dG_frag_any_kcal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-0.45</v>
      </c>
      <c r="B2" t="n">
        <v>-6.2146</v>
      </c>
      <c r="C2" t="inlineStr">
        <is>
          <t>MonoBr</t>
        </is>
      </c>
      <c r="D2" t="n">
        <v>0.105</v>
      </c>
      <c r="G2" t="n">
        <v>22.38</v>
      </c>
      <c r="H2" t="n">
        <v>1.5559</v>
      </c>
      <c r="I2" t="inlineStr">
        <is>
          <t>HexaCl</t>
        </is>
      </c>
      <c r="K2" t="n">
        <v>12.77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5.16</v>
      </c>
      <c r="B3" t="n">
        <v>-4.4228</v>
      </c>
      <c r="C3" t="inlineStr">
        <is>
          <t>1,4-DiBr</t>
        </is>
      </c>
      <c r="D3" t="n">
        <v>0.1167</v>
      </c>
      <c r="G3" t="n">
        <v>17.74</v>
      </c>
      <c r="H3" t="n">
        <v>-1.6198</v>
      </c>
      <c r="I3" t="inlineStr">
        <is>
          <t>PentaCl</t>
        </is>
      </c>
      <c r="K3" t="n">
        <v>7.54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5.41</v>
      </c>
      <c r="B4" t="n">
        <v>-3.4143</v>
      </c>
      <c r="C4" t="inlineStr">
        <is>
          <t>1,3-DiBr</t>
        </is>
      </c>
      <c r="D4" t="n">
        <v>0.09420000000000001</v>
      </c>
      <c r="G4" t="n">
        <v>13.81</v>
      </c>
      <c r="H4" t="n">
        <v>-1.22</v>
      </c>
      <c r="I4" t="inlineStr">
        <is>
          <t>1,2,4,5-TetraCl</t>
        </is>
      </c>
    </row>
    <row r="5">
      <c r="A5" t="n">
        <v>9.970000000000001</v>
      </c>
      <c r="B5" t="n">
        <v>-0.5978</v>
      </c>
      <c r="C5" t="inlineStr">
        <is>
          <t>1,2,4-TriBr</t>
        </is>
      </c>
      <c r="D5" t="n">
        <v>0.1491</v>
      </c>
      <c r="G5" t="n">
        <v>4.67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11.86</v>
      </c>
      <c r="B6" t="n">
        <v>-0.1054</v>
      </c>
      <c r="C6" t="inlineStr">
        <is>
          <t>1,3,5-TriBr</t>
        </is>
      </c>
      <c r="D6" t="n">
        <v>0.1667</v>
      </c>
      <c r="G6" t="n">
        <v>-9.16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13.66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22.11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0.92,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LUMO_RA_eV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LUMO_RA_eV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LUMO_RA_eV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2.0743</v>
      </c>
      <c r="B2" t="n">
        <v>-6.2146</v>
      </c>
      <c r="C2" t="inlineStr">
        <is>
          <t>MonoBr</t>
        </is>
      </c>
      <c r="D2" t="n">
        <v>0.105</v>
      </c>
      <c r="G2" t="n">
        <v>0.9818</v>
      </c>
      <c r="H2" t="n">
        <v>1.5559</v>
      </c>
      <c r="I2" t="inlineStr">
        <is>
          <t>HexaCl</t>
        </is>
      </c>
      <c r="K2" t="n">
        <v>1.0397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1.96</v>
      </c>
      <c r="B3" t="n">
        <v>-4.4228</v>
      </c>
      <c r="C3" t="inlineStr">
        <is>
          <t>1,4-DiBr</t>
        </is>
      </c>
      <c r="D3" t="n">
        <v>0.1167</v>
      </c>
      <c r="G3" t="n">
        <v>0.9665</v>
      </c>
      <c r="H3" t="n">
        <v>-1.6198</v>
      </c>
      <c r="I3" t="inlineStr">
        <is>
          <t>PentaCl</t>
        </is>
      </c>
      <c r="K3" t="n">
        <v>0.7611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1.6376</v>
      </c>
      <c r="B4" t="n">
        <v>-3.4143</v>
      </c>
      <c r="C4" t="inlineStr">
        <is>
          <t>1,3-DiBr</t>
        </is>
      </c>
      <c r="D4" t="n">
        <v>0.09420000000000001</v>
      </c>
      <c r="G4" t="n">
        <v>1.4713</v>
      </c>
      <c r="H4" t="n">
        <v>-1.22</v>
      </c>
      <c r="I4" t="inlineStr">
        <is>
          <t>1,2,4,5-TetraCl</t>
        </is>
      </c>
    </row>
    <row r="5">
      <c r="A5" t="n">
        <v>1.2517</v>
      </c>
      <c r="B5" t="n">
        <v>-0.5978</v>
      </c>
      <c r="C5" t="inlineStr">
        <is>
          <t>1,2,4-TriBr</t>
        </is>
      </c>
      <c r="D5" t="n">
        <v>0.1491</v>
      </c>
      <c r="G5" t="n">
        <v>1.8912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1.1129</v>
      </c>
      <c r="B6" t="n">
        <v>-0.1054</v>
      </c>
      <c r="C6" t="inlineStr">
        <is>
          <t>1,3,5-TriBr</t>
        </is>
      </c>
      <c r="D6" t="n">
        <v>0.1667</v>
      </c>
      <c r="G6" t="n">
        <v>2.7538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0.9923999999999999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0.2231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0.92,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min_dG_2e_carbanion_kcal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min_dG_2e_carbanion_kcal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min_dG_2e_carbanion_kcal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-37.3</v>
      </c>
      <c r="B2" t="n">
        <v>-6.2146</v>
      </c>
      <c r="C2" t="inlineStr">
        <is>
          <t>MonoBr</t>
        </is>
      </c>
      <c r="D2" t="n">
        <v>0.105</v>
      </c>
      <c r="G2" t="n">
        <v>-83.08</v>
      </c>
      <c r="H2" t="n">
        <v>1.5559</v>
      </c>
      <c r="I2" t="inlineStr">
        <is>
          <t>HexaCl</t>
        </is>
      </c>
      <c r="K2" t="n">
        <v>-74.87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-47.41</v>
      </c>
      <c r="B3" t="n">
        <v>-4.4228</v>
      </c>
      <c r="C3" t="inlineStr">
        <is>
          <t>1,4-DiBr</t>
        </is>
      </c>
      <c r="D3" t="n">
        <v>0.1167</v>
      </c>
      <c r="G3" t="n">
        <v>-78.48999999999999</v>
      </c>
      <c r="H3" t="n">
        <v>-1.6198</v>
      </c>
      <c r="I3" t="inlineStr">
        <is>
          <t>PentaCl</t>
        </is>
      </c>
      <c r="K3" t="n">
        <v>-85.28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-50.97</v>
      </c>
      <c r="B4" t="n">
        <v>-3.4143</v>
      </c>
      <c r="C4" t="inlineStr">
        <is>
          <t>1,3-DiBr</t>
        </is>
      </c>
      <c r="D4" t="n">
        <v>0.09420000000000001</v>
      </c>
      <c r="G4" t="n">
        <v>-62.59</v>
      </c>
      <c r="H4" t="n">
        <v>-1.22</v>
      </c>
      <c r="I4" t="inlineStr">
        <is>
          <t>1,2,4,5-TetraCl</t>
        </is>
      </c>
    </row>
    <row r="5">
      <c r="A5" t="n">
        <v>-69.17</v>
      </c>
      <c r="B5" t="n">
        <v>-0.5978</v>
      </c>
      <c r="C5" t="inlineStr">
        <is>
          <t>1,2,4-TriBr</t>
        </is>
      </c>
      <c r="D5" t="n">
        <v>0.1491</v>
      </c>
      <c r="G5" t="n">
        <v>-47.71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-63.39</v>
      </c>
      <c r="B6" t="n">
        <v>-0.1054</v>
      </c>
      <c r="C6" t="inlineStr">
        <is>
          <t>1,3,5-TriBr</t>
        </is>
      </c>
      <c r="D6" t="n">
        <v>0.1667</v>
      </c>
      <c r="G6" t="n">
        <v>-37.66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-74.59999999999999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-97.23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0.91,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n_X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n_X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n_X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</v>
      </c>
      <c r="B2" t="n">
        <v>-6.2146</v>
      </c>
      <c r="C2" t="inlineStr">
        <is>
          <t>MonoBr</t>
        </is>
      </c>
      <c r="D2" t="n">
        <v>0.105</v>
      </c>
      <c r="G2" t="n">
        <v>6</v>
      </c>
      <c r="H2" t="n">
        <v>1.5559</v>
      </c>
      <c r="I2" t="inlineStr">
        <is>
          <t>HexaCl</t>
        </is>
      </c>
      <c r="K2" t="n">
        <v>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</v>
      </c>
      <c r="B3" t="n">
        <v>-4.4228</v>
      </c>
      <c r="C3" t="inlineStr">
        <is>
          <t>1,4-DiBr</t>
        </is>
      </c>
      <c r="D3" t="n">
        <v>0.1167</v>
      </c>
      <c r="G3" t="n">
        <v>5</v>
      </c>
      <c r="H3" t="n">
        <v>-1.6198</v>
      </c>
      <c r="I3" t="inlineStr">
        <is>
          <t>PentaCl</t>
        </is>
      </c>
      <c r="K3" t="n">
        <v>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</v>
      </c>
      <c r="B4" t="n">
        <v>-3.4143</v>
      </c>
      <c r="C4" t="inlineStr">
        <is>
          <t>1,3-DiBr</t>
        </is>
      </c>
      <c r="D4" t="n">
        <v>0.09420000000000001</v>
      </c>
      <c r="G4" t="n">
        <v>4</v>
      </c>
      <c r="H4" t="n">
        <v>-1.22</v>
      </c>
      <c r="I4" t="inlineStr">
        <is>
          <t>1,2,4,5-TetraCl</t>
        </is>
      </c>
    </row>
    <row r="5">
      <c r="A5" t="n">
        <v>3</v>
      </c>
      <c r="B5" t="n">
        <v>-0.5978</v>
      </c>
      <c r="C5" t="inlineStr">
        <is>
          <t>1,2,4-TriBr</t>
        </is>
      </c>
      <c r="D5" t="n">
        <v>0.1491</v>
      </c>
      <c r="G5" t="n">
        <v>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3</v>
      </c>
      <c r="B6" t="n">
        <v>-0.1054</v>
      </c>
      <c r="C6" t="inlineStr">
        <is>
          <t>1,3,5-TriBr</t>
        </is>
      </c>
      <c r="D6" t="n">
        <v>0.1667</v>
      </c>
      <c r="G6" t="n">
        <v>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dG_ET_any_kcal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dG_ET_any_kcal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dG_ET_any_kcal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-12.91</v>
      </c>
      <c r="B2" t="n">
        <v>-6.2146</v>
      </c>
      <c r="C2" t="inlineStr">
        <is>
          <t>MonoBr</t>
        </is>
      </c>
      <c r="D2" t="n">
        <v>0.105</v>
      </c>
      <c r="G2" t="n">
        <v>-34.01</v>
      </c>
      <c r="H2" t="n">
        <v>1.5559</v>
      </c>
      <c r="I2" t="inlineStr">
        <is>
          <t>HexaCl</t>
        </is>
      </c>
      <c r="K2" t="n">
        <v>-28.49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-18.93</v>
      </c>
      <c r="B3" t="n">
        <v>-4.4228</v>
      </c>
      <c r="C3" t="inlineStr">
        <is>
          <t>1,4-DiBr</t>
        </is>
      </c>
      <c r="D3" t="n">
        <v>0.1167</v>
      </c>
      <c r="G3" t="n">
        <v>-28.12</v>
      </c>
      <c r="H3" t="n">
        <v>-1.6198</v>
      </c>
      <c r="I3" t="inlineStr">
        <is>
          <t>PentaCl</t>
        </is>
      </c>
      <c r="K3" t="n">
        <v>-23.93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-19.99</v>
      </c>
      <c r="B4" t="n">
        <v>-3.4143</v>
      </c>
      <c r="C4" t="inlineStr">
        <is>
          <t>1,3-DiBr</t>
        </is>
      </c>
      <c r="D4" t="n">
        <v>0.09420000000000001</v>
      </c>
      <c r="G4" t="n">
        <v>-21.44</v>
      </c>
      <c r="H4" t="n">
        <v>-1.22</v>
      </c>
      <c r="I4" t="inlineStr">
        <is>
          <t>1,2,4,5-TetraCl</t>
        </is>
      </c>
    </row>
    <row r="5">
      <c r="A5" t="n">
        <v>-26.74</v>
      </c>
      <c r="B5" t="n">
        <v>-0.5978</v>
      </c>
      <c r="C5" t="inlineStr">
        <is>
          <t>1,2,4-TriBr</t>
        </is>
      </c>
      <c r="D5" t="n">
        <v>0.1491</v>
      </c>
      <c r="G5" t="n">
        <v>-11.69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-27.39</v>
      </c>
      <c r="B6" t="n">
        <v>-0.1054</v>
      </c>
      <c r="C6" t="inlineStr">
        <is>
          <t>1,3,5-TriBr</t>
        </is>
      </c>
      <c r="D6" t="n">
        <v>0.1667</v>
      </c>
      <c r="G6" t="n">
        <v>4.13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-30.89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-46.83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min_wiberg_CX_parent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min_wiberg_CX_parent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min_wiberg_CX_parent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1.0359</v>
      </c>
      <c r="B2" t="n">
        <v>-6.2146</v>
      </c>
      <c r="C2" t="inlineStr">
        <is>
          <t>MonoBr</t>
        </is>
      </c>
      <c r="D2" t="n">
        <v>0.105</v>
      </c>
      <c r="G2" t="n">
        <v>1.0891</v>
      </c>
      <c r="H2" t="n">
        <v>1.5559</v>
      </c>
      <c r="I2" t="inlineStr">
        <is>
          <t>HexaCl</t>
        </is>
      </c>
      <c r="K2" t="n">
        <v>1.0412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1.0408</v>
      </c>
      <c r="B3" t="n">
        <v>-4.4228</v>
      </c>
      <c r="C3" t="inlineStr">
        <is>
          <t>1,4-DiBr</t>
        </is>
      </c>
      <c r="D3" t="n">
        <v>0.1167</v>
      </c>
      <c r="G3" t="n">
        <v>1.0783</v>
      </c>
      <c r="H3" t="n">
        <v>-1.6198</v>
      </c>
      <c r="I3" t="inlineStr">
        <is>
          <t>PentaCl</t>
        </is>
      </c>
      <c r="K3" t="n">
        <v>1.0454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1.0417</v>
      </c>
      <c r="B4" t="n">
        <v>-3.4143</v>
      </c>
      <c r="C4" t="inlineStr">
        <is>
          <t>1,3-DiBr</t>
        </is>
      </c>
      <c r="D4" t="n">
        <v>0.09420000000000001</v>
      </c>
      <c r="G4" t="n">
        <v>1.0754</v>
      </c>
      <c r="H4" t="n">
        <v>-1.22</v>
      </c>
      <c r="I4" t="inlineStr">
        <is>
          <t>1,2,4,5-TetraCl</t>
        </is>
      </c>
    </row>
    <row r="5">
      <c r="A5" t="n">
        <v>1.0452</v>
      </c>
      <c r="B5" t="n">
        <v>-0.5978</v>
      </c>
      <c r="C5" t="inlineStr">
        <is>
          <t>1,2,4-TriBr</t>
        </is>
      </c>
      <c r="D5" t="n">
        <v>0.1491</v>
      </c>
      <c r="G5" t="n">
        <v>1.0669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1.0465</v>
      </c>
      <c r="B6" t="n">
        <v>-0.1054</v>
      </c>
      <c r="C6" t="inlineStr">
        <is>
          <t>1,3,5-TriBr</t>
        </is>
      </c>
      <c r="D6" t="n">
        <v>0.1667</v>
      </c>
      <c r="G6" t="n">
        <v>1.0559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1.0544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1.0634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0.85,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LUMO_eV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LUMO_eV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LUMO_eV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-0.84</v>
      </c>
      <c r="B2" t="n">
        <v>-6.2146</v>
      </c>
      <c r="C2" t="inlineStr">
        <is>
          <t>MonoBr</t>
        </is>
      </c>
      <c r="D2" t="n">
        <v>0.105</v>
      </c>
      <c r="G2" t="n">
        <v>-1.995</v>
      </c>
      <c r="H2" t="n">
        <v>1.5559</v>
      </c>
      <c r="I2" t="inlineStr">
        <is>
          <t>HexaCl</t>
        </is>
      </c>
      <c r="K2" t="n">
        <v>-1.575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-1.201</v>
      </c>
      <c r="B3" t="n">
        <v>-4.4228</v>
      </c>
      <c r="C3" t="inlineStr">
        <is>
          <t>1,4-DiBr</t>
        </is>
      </c>
      <c r="D3" t="n">
        <v>0.1167</v>
      </c>
      <c r="G3" t="n">
        <v>-1.785</v>
      </c>
      <c r="H3" t="n">
        <v>-1.6198</v>
      </c>
      <c r="I3" t="inlineStr">
        <is>
          <t>PentaCl</t>
        </is>
      </c>
      <c r="K3" t="n">
        <v>-1.69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-1.19</v>
      </c>
      <c r="B4" t="n">
        <v>-3.4143</v>
      </c>
      <c r="C4" t="inlineStr">
        <is>
          <t>1,3-DiBr</t>
        </is>
      </c>
      <c r="D4" t="n">
        <v>0.09420000000000001</v>
      </c>
      <c r="G4" t="n">
        <v>-1.67</v>
      </c>
      <c r="H4" t="n">
        <v>-1.22</v>
      </c>
      <c r="I4" t="inlineStr">
        <is>
          <t>1,2,4,5-TetraCl</t>
        </is>
      </c>
    </row>
    <row r="5">
      <c r="A5" t="n">
        <v>-1.525</v>
      </c>
      <c r="B5" t="n">
        <v>-0.5978</v>
      </c>
      <c r="C5" t="inlineStr">
        <is>
          <t>1,2,4-TriBr</t>
        </is>
      </c>
      <c r="D5" t="n">
        <v>0.1491</v>
      </c>
      <c r="G5" t="n">
        <v>-1.1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-1.638</v>
      </c>
      <c r="B6" t="n">
        <v>-0.1054</v>
      </c>
      <c r="C6" t="inlineStr">
        <is>
          <t>1,3,5-TriBr</t>
        </is>
      </c>
      <c r="D6" t="n">
        <v>0.1667</v>
      </c>
      <c r="G6" t="n">
        <v>-1.184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-1.863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-2.723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VEA_eV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VEA_eV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VEA_eV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-0.449</v>
      </c>
      <c r="B2" t="n">
        <v>-6.2146</v>
      </c>
      <c r="C2" t="inlineStr">
        <is>
          <t>MonoBr</t>
        </is>
      </c>
      <c r="D2" t="n">
        <v>0.105</v>
      </c>
      <c r="G2" t="n">
        <v>0.256</v>
      </c>
      <c r="H2" t="n">
        <v>1.5559</v>
      </c>
      <c r="I2" t="inlineStr">
        <is>
          <t>HexaCl</t>
        </is>
      </c>
      <c r="K2" t="n">
        <v>0.235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-0.671</v>
      </c>
      <c r="B3" t="n">
        <v>-4.4228</v>
      </c>
      <c r="C3" t="inlineStr">
        <is>
          <t>1,4-DiBr</t>
        </is>
      </c>
      <c r="D3" t="n">
        <v>0.1167</v>
      </c>
      <c r="G3" t="n">
        <v>0.106</v>
      </c>
      <c r="H3" t="n">
        <v>-1.6198</v>
      </c>
      <c r="I3" t="inlineStr">
        <is>
          <t>PentaCl</t>
        </is>
      </c>
      <c r="K3" t="n">
        <v>0.41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-0.222</v>
      </c>
      <c r="B4" t="n">
        <v>-3.4143</v>
      </c>
      <c r="C4" t="inlineStr">
        <is>
          <t>1,3-DiBr</t>
        </is>
      </c>
      <c r="D4" t="n">
        <v>0.09420000000000001</v>
      </c>
      <c r="G4" t="n">
        <v>-0.052</v>
      </c>
      <c r="H4" t="n">
        <v>-1.22</v>
      </c>
      <c r="I4" t="inlineStr">
        <is>
          <t>1,2,4,5-TetraCl</t>
        </is>
      </c>
    </row>
    <row r="5">
      <c r="A5" t="n">
        <v>0.063</v>
      </c>
      <c r="B5" t="n">
        <v>-0.5978</v>
      </c>
      <c r="C5" t="inlineStr">
        <is>
          <t>1,2,4-TriBr</t>
        </is>
      </c>
      <c r="D5" t="n">
        <v>0.1491</v>
      </c>
      <c r="G5" t="n">
        <v>-0.726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0.164</v>
      </c>
      <c r="B6" t="n">
        <v>-0.1054</v>
      </c>
      <c r="C6" t="inlineStr">
        <is>
          <t>1,3,5-TriBr</t>
        </is>
      </c>
      <c r="D6" t="n">
        <v>0.1667</v>
      </c>
      <c r="G6" t="n">
        <v>-0.665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0.417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1.313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min_dG_2e_HDH_kcal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min_dG_2e_HDH_kcal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min_dG_2e_HDH_kcal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-427.77</v>
      </c>
      <c r="B2" t="n">
        <v>-6.2146</v>
      </c>
      <c r="C2" t="inlineStr">
        <is>
          <t>MonoBr</t>
        </is>
      </c>
      <c r="D2" t="n">
        <v>0.105</v>
      </c>
      <c r="G2" t="n">
        <v>-429.78</v>
      </c>
      <c r="H2" t="n">
        <v>1.5559</v>
      </c>
      <c r="I2" t="inlineStr">
        <is>
          <t>HexaCl</t>
        </is>
      </c>
      <c r="K2" t="n">
        <v>-432.05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-430.06</v>
      </c>
      <c r="B3" t="n">
        <v>-4.4228</v>
      </c>
      <c r="C3" t="inlineStr">
        <is>
          <t>1,4-DiBr</t>
        </is>
      </c>
      <c r="D3" t="n">
        <v>0.1167</v>
      </c>
      <c r="G3" t="n">
        <v>-427.83</v>
      </c>
      <c r="H3" t="n">
        <v>-1.6198</v>
      </c>
      <c r="I3" t="inlineStr">
        <is>
          <t>PentaCl</t>
        </is>
      </c>
      <c r="K3" t="n">
        <v>-433.68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-429.7</v>
      </c>
      <c r="B4" t="n">
        <v>-3.4143</v>
      </c>
      <c r="C4" t="inlineStr">
        <is>
          <t>1,3-DiBr</t>
        </is>
      </c>
      <c r="D4" t="n">
        <v>0.09420000000000001</v>
      </c>
      <c r="G4" t="n">
        <v>-425.53</v>
      </c>
      <c r="H4" t="n">
        <v>-1.22</v>
      </c>
      <c r="I4" t="inlineStr">
        <is>
          <t>1,2,4,5-TetraCl</t>
        </is>
      </c>
    </row>
    <row r="5">
      <c r="A5" t="n">
        <v>-432.76</v>
      </c>
      <c r="B5" t="n">
        <v>-0.5978</v>
      </c>
      <c r="C5" t="inlineStr">
        <is>
          <t>1,2,4-TriBr</t>
        </is>
      </c>
      <c r="D5" t="n">
        <v>0.1491</v>
      </c>
      <c r="G5" t="n">
        <v>-423.64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-431.09</v>
      </c>
      <c r="B6" t="n">
        <v>-0.1054</v>
      </c>
      <c r="C6" t="inlineStr">
        <is>
          <t>1,3,5-TriBr</t>
        </is>
      </c>
      <c r="D6" t="n">
        <v>0.1667</v>
      </c>
      <c r="G6" t="n">
        <v>-421.48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-434.37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-440.64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omega_dSCF_eV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omega_dSCF_eV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omega_dSCF_eV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0.957</v>
      </c>
      <c r="B2" t="n">
        <v>-6.2146</v>
      </c>
      <c r="C2" t="inlineStr">
        <is>
          <t>MonoBr</t>
        </is>
      </c>
      <c r="D2" t="n">
        <v>0.105</v>
      </c>
      <c r="G2" t="n">
        <v>1.244</v>
      </c>
      <c r="H2" t="n">
        <v>1.5559</v>
      </c>
      <c r="I2" t="inlineStr">
        <is>
          <t>HexaCl</t>
        </is>
      </c>
      <c r="K2" t="n">
        <v>1.099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0.863</v>
      </c>
      <c r="B3" t="n">
        <v>-4.4228</v>
      </c>
      <c r="C3" t="inlineStr">
        <is>
          <t>1,4-DiBr</t>
        </is>
      </c>
      <c r="D3" t="n">
        <v>0.1167</v>
      </c>
      <c r="G3" t="n">
        <v>1.174</v>
      </c>
      <c r="H3" t="n">
        <v>-1.6198</v>
      </c>
      <c r="I3" t="inlineStr">
        <is>
          <t>PentaCl</t>
        </is>
      </c>
      <c r="K3" t="n">
        <v>1.192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1.032</v>
      </c>
      <c r="B4" t="n">
        <v>-3.4143</v>
      </c>
      <c r="C4" t="inlineStr">
        <is>
          <t>1,3-DiBr</t>
        </is>
      </c>
      <c r="D4" t="n">
        <v>0.09420000000000001</v>
      </c>
      <c r="G4" t="n">
        <v>1.103</v>
      </c>
      <c r="H4" t="n">
        <v>-1.22</v>
      </c>
      <c r="I4" t="inlineStr">
        <is>
          <t>1,2,4,5-TetraCl</t>
        </is>
      </c>
    </row>
    <row r="5">
      <c r="A5" t="n">
        <v>1.118</v>
      </c>
      <c r="B5" t="n">
        <v>-0.5978</v>
      </c>
      <c r="C5" t="inlineStr">
        <is>
          <t>1,2,4-TriBr</t>
        </is>
      </c>
      <c r="D5" t="n">
        <v>0.1491</v>
      </c>
      <c r="G5" t="n">
        <v>0.885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1.199</v>
      </c>
      <c r="B6" t="n">
        <v>-0.1054</v>
      </c>
      <c r="C6" t="inlineStr">
        <is>
          <t>1,3,5-TriBr</t>
        </is>
      </c>
      <c r="D6" t="n">
        <v>0.1667</v>
      </c>
      <c r="G6" t="n">
        <v>0.89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1.257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1.709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min_dG_1e_kcal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min_dG_1e_kcal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min_dG_1e_kcal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-13.36</v>
      </c>
      <c r="B2" t="n">
        <v>-6.2146</v>
      </c>
      <c r="C2" t="inlineStr">
        <is>
          <t>MonoBr</t>
        </is>
      </c>
      <c r="D2" t="n">
        <v>0.105</v>
      </c>
      <c r="G2" t="n">
        <v>-11.63</v>
      </c>
      <c r="H2" t="n">
        <v>1.5559</v>
      </c>
      <c r="I2" t="inlineStr">
        <is>
          <t>HexaCl</t>
        </is>
      </c>
      <c r="K2" t="n">
        <v>-15.72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-13.77</v>
      </c>
      <c r="B3" t="n">
        <v>-4.4228</v>
      </c>
      <c r="C3" t="inlineStr">
        <is>
          <t>1,4-DiBr</t>
        </is>
      </c>
      <c r="D3" t="n">
        <v>0.1167</v>
      </c>
      <c r="G3" t="n">
        <v>-10.39</v>
      </c>
      <c r="H3" t="n">
        <v>-1.6198</v>
      </c>
      <c r="I3" t="inlineStr">
        <is>
          <t>PentaCl</t>
        </is>
      </c>
      <c r="K3" t="n">
        <v>-16.39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-14.58</v>
      </c>
      <c r="B4" t="n">
        <v>-3.4143</v>
      </c>
      <c r="C4" t="inlineStr">
        <is>
          <t>1,3-DiBr</t>
        </is>
      </c>
      <c r="D4" t="n">
        <v>0.09420000000000001</v>
      </c>
      <c r="G4" t="n">
        <v>-7.63</v>
      </c>
      <c r="H4" t="n">
        <v>-1.22</v>
      </c>
      <c r="I4" t="inlineStr">
        <is>
          <t>1,2,4,5-TetraCl</t>
        </is>
      </c>
    </row>
    <row r="5">
      <c r="A5" t="n">
        <v>-16.77</v>
      </c>
      <c r="B5" t="n">
        <v>-0.5978</v>
      </c>
      <c r="C5" t="inlineStr">
        <is>
          <t>1,2,4-TriBr</t>
        </is>
      </c>
      <c r="D5" t="n">
        <v>0.1491</v>
      </c>
      <c r="G5" t="n">
        <v>-7.02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-15.54</v>
      </c>
      <c r="B6" t="n">
        <v>-0.1054</v>
      </c>
      <c r="C6" t="inlineStr">
        <is>
          <t>1,3,5-TriBr</t>
        </is>
      </c>
      <c r="D6" t="n">
        <v>0.1667</v>
      </c>
      <c r="G6" t="n">
        <v>-5.04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-17.23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-24.73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0.66,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min_BDE_kcal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min_BDE_kcal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min_BDE_kcal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74.12</v>
      </c>
      <c r="B2" t="n">
        <v>-6.2146</v>
      </c>
      <c r="C2" t="inlineStr">
        <is>
          <t>MonoBr</t>
        </is>
      </c>
      <c r="D2" t="n">
        <v>0.105</v>
      </c>
      <c r="G2" t="n">
        <v>83.09</v>
      </c>
      <c r="H2" t="n">
        <v>1.5559</v>
      </c>
      <c r="I2" t="inlineStr">
        <is>
          <t>HexaCl</t>
        </is>
      </c>
      <c r="K2" t="n">
        <v>71.61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74.12</v>
      </c>
      <c r="B3" t="n">
        <v>-4.4228</v>
      </c>
      <c r="C3" t="inlineStr">
        <is>
          <t>1,4-DiBr</t>
        </is>
      </c>
      <c r="D3" t="n">
        <v>0.1167</v>
      </c>
      <c r="G3" t="n">
        <v>83.27</v>
      </c>
      <c r="H3" t="n">
        <v>-1.6198</v>
      </c>
      <c r="I3" t="inlineStr">
        <is>
          <t>PentaCl</t>
        </is>
      </c>
      <c r="K3" t="n">
        <v>71.31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73.33</v>
      </c>
      <c r="B4" t="n">
        <v>-3.4143</v>
      </c>
      <c r="C4" t="inlineStr">
        <is>
          <t>1,3-DiBr</t>
        </is>
      </c>
      <c r="D4" t="n">
        <v>0.09420000000000001</v>
      </c>
      <c r="G4" t="n">
        <v>86.63</v>
      </c>
      <c r="H4" t="n">
        <v>-1.22</v>
      </c>
      <c r="I4" t="inlineStr">
        <is>
          <t>1,2,4,5-TetraCl</t>
        </is>
      </c>
    </row>
    <row r="5">
      <c r="A5" t="n">
        <v>70.93000000000001</v>
      </c>
      <c r="B5" t="n">
        <v>-0.5978</v>
      </c>
      <c r="C5" t="inlineStr">
        <is>
          <t>1,2,4-TriBr</t>
        </is>
      </c>
      <c r="D5" t="n">
        <v>0.1491</v>
      </c>
      <c r="G5" t="n">
        <v>86.81999999999999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72.64</v>
      </c>
      <c r="B6" t="n">
        <v>-0.1054</v>
      </c>
      <c r="C6" t="inlineStr">
        <is>
          <t>1,3,5-TriBr</t>
        </is>
      </c>
      <c r="D6" t="n">
        <v>0.1667</v>
      </c>
      <c r="G6" t="n">
        <v>88.66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71.28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64.31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0.63,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max_dr_CX_RA_A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max_dr_CX_RA_A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max_dr_CX_RA_A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0.9262</v>
      </c>
      <c r="B2" t="n">
        <v>-6.2146</v>
      </c>
      <c r="C2" t="inlineStr">
        <is>
          <t>MonoBr</t>
        </is>
      </c>
      <c r="D2" t="n">
        <v>0.105</v>
      </c>
      <c r="G2" t="n">
        <v>0.07190000000000001</v>
      </c>
      <c r="H2" t="n">
        <v>1.5559</v>
      </c>
      <c r="I2" t="inlineStr">
        <is>
          <t>HexaCl</t>
        </is>
      </c>
      <c r="K2" t="n">
        <v>0.0135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0.8605</v>
      </c>
      <c r="B3" t="n">
        <v>-4.4228</v>
      </c>
      <c r="C3" t="inlineStr">
        <is>
          <t>1,4-DiBr</t>
        </is>
      </c>
      <c r="D3" t="n">
        <v>0.1167</v>
      </c>
      <c r="G3" t="n">
        <v>0.6122</v>
      </c>
      <c r="H3" t="n">
        <v>-1.6198</v>
      </c>
      <c r="I3" t="inlineStr">
        <is>
          <t>PentaCl</t>
        </is>
      </c>
      <c r="K3" t="n">
        <v>0.7027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0.0475</v>
      </c>
      <c r="B4" t="n">
        <v>-3.4143</v>
      </c>
      <c r="C4" t="inlineStr">
        <is>
          <t>1,3-DiBr</t>
        </is>
      </c>
      <c r="D4" t="n">
        <v>0.09420000000000001</v>
      </c>
      <c r="G4" t="n">
        <v>0.0451</v>
      </c>
      <c r="H4" t="n">
        <v>-1.22</v>
      </c>
      <c r="I4" t="inlineStr">
        <is>
          <t>1,2,4,5-TetraCl</t>
        </is>
      </c>
    </row>
    <row r="5">
      <c r="A5" t="n">
        <v>0.7235</v>
      </c>
      <c r="B5" t="n">
        <v>-0.5978</v>
      </c>
      <c r="C5" t="inlineStr">
        <is>
          <t>1,2,4-TriBr</t>
        </is>
      </c>
      <c r="D5" t="n">
        <v>0.1491</v>
      </c>
      <c r="G5" t="n">
        <v>0.857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0.7131999999999999</v>
      </c>
      <c r="B6" t="n">
        <v>-0.1054</v>
      </c>
      <c r="C6" t="inlineStr">
        <is>
          <t>1,3,5-TriBr</t>
        </is>
      </c>
      <c r="D6" t="n">
        <v>0.1667</v>
      </c>
      <c r="G6" t="n">
        <v>0.08359999999999999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0.0198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0.09080000000000001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0.34,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max_fplus_CX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max_fplus_CX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max_fplus_CX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0.1498</v>
      </c>
      <c r="B2" t="n">
        <v>-6.2146</v>
      </c>
      <c r="C2" t="inlineStr">
        <is>
          <t>MonoBr</t>
        </is>
      </c>
      <c r="D2" t="n">
        <v>0.105</v>
      </c>
      <c r="G2" t="n">
        <v>0.2258</v>
      </c>
      <c r="H2" t="n">
        <v>1.5559</v>
      </c>
      <c r="I2" t="inlineStr">
        <is>
          <t>HexaCl</t>
        </is>
      </c>
      <c r="K2" t="n">
        <v>0.1206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0.4011</v>
      </c>
      <c r="B3" t="n">
        <v>-4.4228</v>
      </c>
      <c r="C3" t="inlineStr">
        <is>
          <t>1,4-DiBr</t>
        </is>
      </c>
      <c r="D3" t="n">
        <v>0.1167</v>
      </c>
      <c r="G3" t="n">
        <v>0.2291</v>
      </c>
      <c r="H3" t="n">
        <v>-1.6198</v>
      </c>
      <c r="I3" t="inlineStr">
        <is>
          <t>PentaCl</t>
        </is>
      </c>
      <c r="K3" t="n">
        <v>0.1534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0.2248</v>
      </c>
      <c r="B4" t="n">
        <v>-3.4143</v>
      </c>
      <c r="C4" t="inlineStr">
        <is>
          <t>1,3-DiBr</t>
        </is>
      </c>
      <c r="D4" t="n">
        <v>0.09420000000000001</v>
      </c>
      <c r="G4" t="n">
        <v>0.1526</v>
      </c>
      <c r="H4" t="n">
        <v>-1.22</v>
      </c>
      <c r="I4" t="inlineStr">
        <is>
          <t>1,2,4,5-TetraCl</t>
        </is>
      </c>
    </row>
    <row r="5">
      <c r="A5" t="n">
        <v>0.271</v>
      </c>
      <c r="B5" t="n">
        <v>-0.5978</v>
      </c>
      <c r="C5" t="inlineStr">
        <is>
          <t>1,2,4-TriBr</t>
        </is>
      </c>
      <c r="D5" t="n">
        <v>0.1491</v>
      </c>
      <c r="G5" t="n">
        <v>0.1622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0.2669</v>
      </c>
      <c r="B6" t="n">
        <v>-0.1054</v>
      </c>
      <c r="C6" t="inlineStr">
        <is>
          <t>1,3,5-TriBr</t>
        </is>
      </c>
      <c r="D6" t="n">
        <v>0.1667</v>
      </c>
      <c r="G6" t="n">
        <v>0.147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0.214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0.1667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0.04,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min_dG_rad_red_kcal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min_dG_rad_red_kcal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min_dG_rad_red_kcal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-83.65000000000001</v>
      </c>
      <c r="B2" t="n">
        <v>-6.2146</v>
      </c>
      <c r="C2" t="inlineStr">
        <is>
          <t>MonoBr</t>
        </is>
      </c>
      <c r="D2" t="n">
        <v>0.105</v>
      </c>
      <c r="G2" t="n">
        <v>-113.44</v>
      </c>
      <c r="H2" t="n">
        <v>1.5559</v>
      </c>
      <c r="I2" t="inlineStr">
        <is>
          <t>HexaCl</t>
        </is>
      </c>
      <c r="K2" t="n">
        <v>-100.19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-87.22</v>
      </c>
      <c r="B3" t="n">
        <v>-4.4228</v>
      </c>
      <c r="C3" t="inlineStr">
        <is>
          <t>1,4-DiBr</t>
        </is>
      </c>
      <c r="D3" t="n">
        <v>0.1167</v>
      </c>
      <c r="G3" t="n">
        <v>-111.41</v>
      </c>
      <c r="H3" t="n">
        <v>-1.6198</v>
      </c>
      <c r="I3" t="inlineStr">
        <is>
          <t>PentaCl</t>
        </is>
      </c>
      <c r="K3" t="n">
        <v>-107.38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-88.34999999999999</v>
      </c>
      <c r="B4" t="n">
        <v>-3.4143</v>
      </c>
      <c r="C4" t="inlineStr">
        <is>
          <t>1,3-DiBr</t>
        </is>
      </c>
      <c r="D4" t="n">
        <v>0.09420000000000001</v>
      </c>
      <c r="G4" t="n">
        <v>-101.3</v>
      </c>
      <c r="H4" t="n">
        <v>-1.22</v>
      </c>
      <c r="I4" t="inlineStr">
        <is>
          <t>1,2,4,5-TetraCl</t>
        </is>
      </c>
    </row>
    <row r="5">
      <c r="A5" t="n">
        <v>-96.98999999999999</v>
      </c>
      <c r="B5" t="n">
        <v>-0.5978</v>
      </c>
      <c r="C5" t="inlineStr">
        <is>
          <t>1,2,4-TriBr</t>
        </is>
      </c>
      <c r="D5" t="n">
        <v>0.1491</v>
      </c>
      <c r="G5" t="n">
        <v>-94.40000000000001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-93.68000000000001</v>
      </c>
      <c r="B6" t="n">
        <v>-0.1054</v>
      </c>
      <c r="C6" t="inlineStr">
        <is>
          <t>1,3,5-TriBr</t>
        </is>
      </c>
      <c r="D6" t="n">
        <v>0.1667</v>
      </c>
      <c r="G6" t="n">
        <v>-87.17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-100.08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-109.69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0.89,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min_dG_RA_2e_any_kcal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min_dG_RA_2e_any_kcal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min_dG_RA_2e_any_kcal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-86.81</v>
      </c>
      <c r="B2" t="n">
        <v>-6.2146</v>
      </c>
      <c r="C2" t="inlineStr">
        <is>
          <t>MonoBr</t>
        </is>
      </c>
      <c r="D2" t="n">
        <v>0.105</v>
      </c>
      <c r="G2" t="n">
        <v>-113.96</v>
      </c>
      <c r="H2" t="n">
        <v>1.5559</v>
      </c>
      <c r="I2" t="inlineStr">
        <is>
          <t>HexaCl</t>
        </is>
      </c>
      <c r="K2" t="n">
        <v>-103.2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-89.70999999999999</v>
      </c>
      <c r="B3" t="n">
        <v>-4.4228</v>
      </c>
      <c r="C3" t="inlineStr">
        <is>
          <t>1,4-DiBr</t>
        </is>
      </c>
      <c r="D3" t="n">
        <v>0.1167</v>
      </c>
      <c r="G3" t="n">
        <v>-113.2</v>
      </c>
      <c r="H3" t="n">
        <v>-1.6198</v>
      </c>
      <c r="I3" t="inlineStr">
        <is>
          <t>PentaCl</t>
        </is>
      </c>
      <c r="P3">
        <f>MAX($A$2:$A$8)</f>
        <v/>
      </c>
      <c r="Q3">
        <f>$Q$6+$Q$5*P3</f>
        <v/>
      </c>
    </row>
    <row r="4">
      <c r="A4" t="n">
        <v>-91.83</v>
      </c>
      <c r="B4" t="n">
        <v>-3.4143</v>
      </c>
      <c r="C4" t="inlineStr">
        <is>
          <t>1,3-DiBr</t>
        </is>
      </c>
      <c r="D4" t="n">
        <v>0.09420000000000001</v>
      </c>
      <c r="G4" t="n">
        <v>-104.37</v>
      </c>
      <c r="H4" t="n">
        <v>-1.22</v>
      </c>
      <c r="I4" t="inlineStr">
        <is>
          <t>1,2,4,5-TetraCl</t>
        </is>
      </c>
    </row>
    <row r="5">
      <c r="A5" t="n">
        <v>-98.45</v>
      </c>
      <c r="B5" t="n">
        <v>-0.5978</v>
      </c>
      <c r="C5" t="inlineStr">
        <is>
          <t>1,2,4-TriBr</t>
        </is>
      </c>
      <c r="D5" t="n">
        <v>0.1491</v>
      </c>
      <c r="G5" t="n">
        <v>-94.34999999999999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-94.64</v>
      </c>
      <c r="B6" t="n">
        <v>-0.1054</v>
      </c>
      <c r="C6" t="inlineStr">
        <is>
          <t>1,3,5-TriBr</t>
        </is>
      </c>
      <c r="D6" t="n">
        <v>0.1667</v>
      </c>
      <c r="G6" t="n">
        <v>-116.47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-99.84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-107.2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0.89,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min_wiberg_CX_parent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min_wiberg_CX_parent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min_wiberg_CX_parent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1.0259</v>
      </c>
      <c r="B2" t="n">
        <v>-6.2146</v>
      </c>
      <c r="C2" t="inlineStr">
        <is>
          <t>MonoBr</t>
        </is>
      </c>
      <c r="D2" t="n">
        <v>0.105</v>
      </c>
      <c r="G2" t="n">
        <v>1.0843</v>
      </c>
      <c r="H2" t="n">
        <v>1.5559</v>
      </c>
      <c r="I2" t="inlineStr">
        <is>
          <t>HexaCl</t>
        </is>
      </c>
      <c r="K2" t="n">
        <v>1.0333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1.0325</v>
      </c>
      <c r="B3" t="n">
        <v>-4.4228</v>
      </c>
      <c r="C3" t="inlineStr">
        <is>
          <t>1,4-DiBr</t>
        </is>
      </c>
      <c r="D3" t="n">
        <v>0.1167</v>
      </c>
      <c r="G3" t="n">
        <v>1.0726</v>
      </c>
      <c r="H3" t="n">
        <v>-1.6198</v>
      </c>
      <c r="I3" t="inlineStr">
        <is>
          <t>PentaCl</t>
        </is>
      </c>
      <c r="K3" t="n">
        <v>1.0364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1.0336</v>
      </c>
      <c r="B4" t="n">
        <v>-3.4143</v>
      </c>
      <c r="C4" t="inlineStr">
        <is>
          <t>1,3-DiBr</t>
        </is>
      </c>
      <c r="D4" t="n">
        <v>0.09420000000000001</v>
      </c>
      <c r="G4" t="n">
        <v>1.0672</v>
      </c>
      <c r="H4" t="n">
        <v>-1.22</v>
      </c>
      <c r="I4" t="inlineStr">
        <is>
          <t>1,2,4,5-TetraCl</t>
        </is>
      </c>
    </row>
    <row r="5">
      <c r="A5" t="n">
        <v>1.0392</v>
      </c>
      <c r="B5" t="n">
        <v>-0.5978</v>
      </c>
      <c r="C5" t="inlineStr">
        <is>
          <t>1,2,4-TriBr</t>
        </is>
      </c>
      <c r="D5" t="n">
        <v>0.1491</v>
      </c>
      <c r="G5" t="n">
        <v>1.0538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1.0413</v>
      </c>
      <c r="B6" t="n">
        <v>-0.1054</v>
      </c>
      <c r="C6" t="inlineStr">
        <is>
          <t>1,3,5-TriBr</t>
        </is>
      </c>
      <c r="D6" t="n">
        <v>0.1667</v>
      </c>
      <c r="G6" t="n">
        <v>1.043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1.0505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1.0616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0.88,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n_X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n_X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n_X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</v>
      </c>
      <c r="B2" t="n">
        <v>-6.2146</v>
      </c>
      <c r="C2" t="inlineStr">
        <is>
          <t>MonoBr</t>
        </is>
      </c>
      <c r="D2" t="n">
        <v>0.105</v>
      </c>
      <c r="G2" t="n">
        <v>6</v>
      </c>
      <c r="H2" t="n">
        <v>1.5559</v>
      </c>
      <c r="I2" t="inlineStr">
        <is>
          <t>HexaCl</t>
        </is>
      </c>
      <c r="K2" t="n">
        <v>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</v>
      </c>
      <c r="B3" t="n">
        <v>-4.4228</v>
      </c>
      <c r="C3" t="inlineStr">
        <is>
          <t>1,4-DiBr</t>
        </is>
      </c>
      <c r="D3" t="n">
        <v>0.1167</v>
      </c>
      <c r="G3" t="n">
        <v>5</v>
      </c>
      <c r="H3" t="n">
        <v>-1.6198</v>
      </c>
      <c r="I3" t="inlineStr">
        <is>
          <t>PentaCl</t>
        </is>
      </c>
      <c r="K3" t="n">
        <v>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</v>
      </c>
      <c r="B4" t="n">
        <v>-3.4143</v>
      </c>
      <c r="C4" t="inlineStr">
        <is>
          <t>1,3-DiBr</t>
        </is>
      </c>
      <c r="D4" t="n">
        <v>0.09420000000000001</v>
      </c>
      <c r="G4" t="n">
        <v>4</v>
      </c>
      <c r="H4" t="n">
        <v>-1.22</v>
      </c>
      <c r="I4" t="inlineStr">
        <is>
          <t>1,2,4,5-TetraCl</t>
        </is>
      </c>
    </row>
    <row r="5">
      <c r="A5" t="n">
        <v>3</v>
      </c>
      <c r="B5" t="n">
        <v>-0.5978</v>
      </c>
      <c r="C5" t="inlineStr">
        <is>
          <t>1,2,4-TriBr</t>
        </is>
      </c>
      <c r="D5" t="n">
        <v>0.1491</v>
      </c>
      <c r="G5" t="n">
        <v>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3</v>
      </c>
      <c r="B6" t="n">
        <v>-0.1054</v>
      </c>
      <c r="C6" t="inlineStr">
        <is>
          <t>1,3,5-TriBr</t>
        </is>
      </c>
      <c r="D6" t="n">
        <v>0.1667</v>
      </c>
      <c r="G6" t="n">
        <v>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LUMO_eV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LUMO_eV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LUMO_eV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-0.708</v>
      </c>
      <c r="B2" t="n">
        <v>-6.2146</v>
      </c>
      <c r="C2" t="inlineStr">
        <is>
          <t>MonoBr</t>
        </is>
      </c>
      <c r="D2" t="n">
        <v>0.105</v>
      </c>
      <c r="G2" t="n">
        <v>-1.904</v>
      </c>
      <c r="H2" t="n">
        <v>1.5559</v>
      </c>
      <c r="I2" t="inlineStr">
        <is>
          <t>HexaCl</t>
        </is>
      </c>
      <c r="K2" t="n">
        <v>-1.271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-0.992</v>
      </c>
      <c r="B3" t="n">
        <v>-4.4228</v>
      </c>
      <c r="C3" t="inlineStr">
        <is>
          <t>1,4-DiBr</t>
        </is>
      </c>
      <c r="D3" t="n">
        <v>0.1167</v>
      </c>
      <c r="G3" t="n">
        <v>-1.539</v>
      </c>
      <c r="H3" t="n">
        <v>-1.6198</v>
      </c>
      <c r="I3" t="inlineStr">
        <is>
          <t>PentaCl</t>
        </is>
      </c>
      <c r="K3" t="n">
        <v>-1.487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-1.029</v>
      </c>
      <c r="B4" t="n">
        <v>-3.4143</v>
      </c>
      <c r="C4" t="inlineStr">
        <is>
          <t>1,3-DiBr</t>
        </is>
      </c>
      <c r="D4" t="n">
        <v>0.09420000000000001</v>
      </c>
      <c r="G4" t="n">
        <v>-1.372</v>
      </c>
      <c r="H4" t="n">
        <v>-1.22</v>
      </c>
      <c r="I4" t="inlineStr">
        <is>
          <t>1,2,4,5-TetraCl</t>
        </is>
      </c>
    </row>
    <row r="5">
      <c r="A5" t="n">
        <v>-1.426</v>
      </c>
      <c r="B5" t="n">
        <v>-0.5978</v>
      </c>
      <c r="C5" t="inlineStr">
        <is>
          <t>1,2,4-TriBr</t>
        </is>
      </c>
      <c r="D5" t="n">
        <v>0.1491</v>
      </c>
      <c r="G5" t="n">
        <v>-0.896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-1.51</v>
      </c>
      <c r="B6" t="n">
        <v>-0.1054</v>
      </c>
      <c r="C6" t="inlineStr">
        <is>
          <t>1,3,5-TriBr</t>
        </is>
      </c>
      <c r="D6" t="n">
        <v>0.1667</v>
      </c>
      <c r="G6" t="n">
        <v>-0.9330000000000001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-1.758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-2.69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min_dG_2e_carbanion_kcal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min_dG_2e_carbanion_kcal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min_dG_2e_carbanion_kcal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-147.23</v>
      </c>
      <c r="B2" t="n">
        <v>-6.2146</v>
      </c>
      <c r="C2" t="inlineStr">
        <is>
          <t>MonoBr</t>
        </is>
      </c>
      <c r="D2" t="n">
        <v>0.105</v>
      </c>
      <c r="G2" t="n">
        <v>-187.46</v>
      </c>
      <c r="H2" t="n">
        <v>1.5559</v>
      </c>
      <c r="I2" t="inlineStr">
        <is>
          <t>HexaCl</t>
        </is>
      </c>
      <c r="K2" t="n">
        <v>-166.45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-151.25</v>
      </c>
      <c r="B3" t="n">
        <v>-4.4228</v>
      </c>
      <c r="C3" t="inlineStr">
        <is>
          <t>1,4-DiBr</t>
        </is>
      </c>
      <c r="D3" t="n">
        <v>0.1167</v>
      </c>
      <c r="G3" t="n">
        <v>-184.82</v>
      </c>
      <c r="H3" t="n">
        <v>-1.6198</v>
      </c>
      <c r="I3" t="inlineStr">
        <is>
          <t>PentaCl</t>
        </is>
      </c>
      <c r="K3" t="n">
        <v>-173.47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-153.37</v>
      </c>
      <c r="B4" t="n">
        <v>-3.4143</v>
      </c>
      <c r="C4" t="inlineStr">
        <is>
          <t>1,3-DiBr</t>
        </is>
      </c>
      <c r="D4" t="n">
        <v>0.09420000000000001</v>
      </c>
      <c r="G4" t="n">
        <v>-172.09</v>
      </c>
      <c r="H4" t="n">
        <v>-1.22</v>
      </c>
      <c r="I4" t="inlineStr">
        <is>
          <t>1,2,4,5-TetraCl</t>
        </is>
      </c>
    </row>
    <row r="5">
      <c r="A5" t="n">
        <v>-164.3</v>
      </c>
      <c r="B5" t="n">
        <v>-0.5978</v>
      </c>
      <c r="C5" t="inlineStr">
        <is>
          <t>1,2,4-TriBr</t>
        </is>
      </c>
      <c r="D5" t="n">
        <v>0.1491</v>
      </c>
      <c r="G5" t="n">
        <v>-164.42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-159.14</v>
      </c>
      <c r="B6" t="n">
        <v>-0.1054</v>
      </c>
      <c r="C6" t="inlineStr">
        <is>
          <t>1,3,5-TriBr</t>
        </is>
      </c>
      <c r="D6" t="n">
        <v>0.1667</v>
      </c>
      <c r="G6" t="n">
        <v>-155.14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-167.94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-184.25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min_dG_frag_any_kcal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min_dG_frag_any_kcal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min_dG_frag_any_kcal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-3.16</v>
      </c>
      <c r="B2" t="n">
        <v>-6.2146</v>
      </c>
      <c r="C2" t="inlineStr">
        <is>
          <t>MonoBr</t>
        </is>
      </c>
      <c r="D2" t="n">
        <v>0.105</v>
      </c>
      <c r="G2" t="n">
        <v>-0.53</v>
      </c>
      <c r="H2" t="n">
        <v>1.5559</v>
      </c>
      <c r="I2" t="inlineStr">
        <is>
          <t>HexaCl</t>
        </is>
      </c>
      <c r="K2" t="n">
        <v>-3.02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-2.49</v>
      </c>
      <c r="B3" t="n">
        <v>-4.4228</v>
      </c>
      <c r="C3" t="inlineStr">
        <is>
          <t>1,4-DiBr</t>
        </is>
      </c>
      <c r="D3" t="n">
        <v>0.1167</v>
      </c>
      <c r="G3" t="n">
        <v>-1.79</v>
      </c>
      <c r="H3" t="n">
        <v>-1.6198</v>
      </c>
      <c r="I3" t="inlineStr">
        <is>
          <t>PentaCl</t>
        </is>
      </c>
      <c r="P3">
        <f>MAX($A$2:$A$8)</f>
        <v/>
      </c>
      <c r="Q3">
        <f>$Q$6+$Q$5*P3</f>
        <v/>
      </c>
    </row>
    <row r="4">
      <c r="A4" t="n">
        <v>-3.48</v>
      </c>
      <c r="B4" t="n">
        <v>-3.4143</v>
      </c>
      <c r="C4" t="inlineStr">
        <is>
          <t>1,3-DiBr</t>
        </is>
      </c>
      <c r="D4" t="n">
        <v>0.09420000000000001</v>
      </c>
      <c r="G4" t="n">
        <v>-3.07</v>
      </c>
      <c r="H4" t="n">
        <v>-1.22</v>
      </c>
      <c r="I4" t="inlineStr">
        <is>
          <t>1,2,4,5-TetraCl</t>
        </is>
      </c>
    </row>
    <row r="5">
      <c r="A5" t="n">
        <v>-1.46</v>
      </c>
      <c r="B5" t="n">
        <v>-0.5978</v>
      </c>
      <c r="C5" t="inlineStr">
        <is>
          <t>1,2,4-TriBr</t>
        </is>
      </c>
      <c r="D5" t="n">
        <v>0.1491</v>
      </c>
      <c r="G5" t="n">
        <v>0.04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-0.97</v>
      </c>
      <c r="B6" t="n">
        <v>-0.1054</v>
      </c>
      <c r="C6" t="inlineStr">
        <is>
          <t>1,3,5-TriBr</t>
        </is>
      </c>
      <c r="D6" t="n">
        <v>0.1667</v>
      </c>
      <c r="G6" t="n">
        <v>-29.3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0.25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2.49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min_dG0_act_concerted_kcal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min_dG0_act_concerted_kcal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min_dG0_act_concerted_kcal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26.44</v>
      </c>
      <c r="B2" t="n">
        <v>-6.2146</v>
      </c>
      <c r="C2" t="inlineStr">
        <is>
          <t>MonoBr</t>
        </is>
      </c>
      <c r="D2" t="n">
        <v>0.105</v>
      </c>
      <c r="G2" t="n">
        <v>27.56</v>
      </c>
      <c r="H2" t="n">
        <v>1.5559</v>
      </c>
      <c r="I2" t="inlineStr">
        <is>
          <t>HexaCl</t>
        </is>
      </c>
      <c r="K2" t="n">
        <v>23.87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26.01</v>
      </c>
      <c r="B3" t="n">
        <v>-4.4228</v>
      </c>
      <c r="C3" t="inlineStr">
        <is>
          <t>1,4-DiBr</t>
        </is>
      </c>
      <c r="D3" t="n">
        <v>0.1167</v>
      </c>
      <c r="G3" t="n">
        <v>27.81</v>
      </c>
      <c r="H3" t="n">
        <v>-1.6198</v>
      </c>
      <c r="I3" t="inlineStr">
        <is>
          <t>PentaCl</t>
        </is>
      </c>
      <c r="K3" t="n">
        <v>23.56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25.78</v>
      </c>
      <c r="B4" t="n">
        <v>-3.4143</v>
      </c>
      <c r="C4" t="inlineStr">
        <is>
          <t>1,3-DiBr</t>
        </is>
      </c>
      <c r="D4" t="n">
        <v>0.09420000000000001</v>
      </c>
      <c r="G4" t="n">
        <v>28.84</v>
      </c>
      <c r="H4" t="n">
        <v>-1.22</v>
      </c>
      <c r="I4" t="inlineStr">
        <is>
          <t>1,2,4,5-TetraCl</t>
        </is>
      </c>
    </row>
    <row r="5">
      <c r="A5" t="n">
        <v>24.8</v>
      </c>
      <c r="B5" t="n">
        <v>-0.5978</v>
      </c>
      <c r="C5" t="inlineStr">
        <is>
          <t>1,2,4-TriBr</t>
        </is>
      </c>
      <c r="D5" t="n">
        <v>0.1491</v>
      </c>
      <c r="G5" t="n">
        <v>29.46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25.22</v>
      </c>
      <c r="B6" t="n">
        <v>-0.1054</v>
      </c>
      <c r="C6" t="inlineStr">
        <is>
          <t>1,3,5-TriBr</t>
        </is>
      </c>
      <c r="D6" t="n">
        <v>0.1667</v>
      </c>
      <c r="G6" t="n">
        <v>29.94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24.58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22.42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0.79,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min_dG_2e_HDH_kcal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min_dG_2e_HDH_kcal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min_dG_2e_HDH_kcal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-214.76</v>
      </c>
      <c r="B2" t="n">
        <v>-6.2146</v>
      </c>
      <c r="C2" t="inlineStr">
        <is>
          <t>MonoBr</t>
        </is>
      </c>
      <c r="D2" t="n">
        <v>0.105</v>
      </c>
      <c r="G2" t="n">
        <v>-229.4</v>
      </c>
      <c r="H2" t="n">
        <v>1.5559</v>
      </c>
      <c r="I2" t="inlineStr">
        <is>
          <t>HexaCl</t>
        </is>
      </c>
      <c r="K2" t="n">
        <v>-219.46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-216.7</v>
      </c>
      <c r="B3" t="n">
        <v>-4.4228</v>
      </c>
      <c r="C3" t="inlineStr">
        <is>
          <t>1,4-DiBr</t>
        </is>
      </c>
      <c r="D3" t="n">
        <v>0.1167</v>
      </c>
      <c r="G3" t="n">
        <v>-227.91</v>
      </c>
      <c r="H3" t="n">
        <v>-1.6198</v>
      </c>
      <c r="I3" t="inlineStr">
        <is>
          <t>PentaCl</t>
        </is>
      </c>
      <c r="K3" t="n">
        <v>-220.63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-216.62</v>
      </c>
      <c r="B4" t="n">
        <v>-3.4143</v>
      </c>
      <c r="C4" t="inlineStr">
        <is>
          <t>1,3-DiBr</t>
        </is>
      </c>
      <c r="D4" t="n">
        <v>0.09420000000000001</v>
      </c>
      <c r="G4" t="n">
        <v>-225.58</v>
      </c>
      <c r="H4" t="n">
        <v>-1.22</v>
      </c>
      <c r="I4" t="inlineStr">
        <is>
          <t>1,2,4,5-TetraCl</t>
        </is>
      </c>
    </row>
    <row r="5">
      <c r="A5" t="n">
        <v>-219.79</v>
      </c>
      <c r="B5" t="n">
        <v>-0.5978</v>
      </c>
      <c r="C5" t="inlineStr">
        <is>
          <t>1,2,4-TriBr</t>
        </is>
      </c>
      <c r="D5" t="n">
        <v>0.1491</v>
      </c>
      <c r="G5" t="n">
        <v>-222.98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-217.99</v>
      </c>
      <c r="B6" t="n">
        <v>-0.1054</v>
      </c>
      <c r="C6" t="inlineStr">
        <is>
          <t>1,3,5-TriBr</t>
        </is>
      </c>
      <c r="D6" t="n">
        <v>0.1667</v>
      </c>
      <c r="G6" t="n">
        <v>-220.72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-221.89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-227.26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0.79,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eff_dG_act_concerted_kcal @ -2.00 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eff_dG_act_concerted_kcal @ -2.00 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eff_dG_act_concerted_kcal @ -2.00 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21.24</v>
      </c>
      <c r="B2" t="n">
        <v>-6.2146</v>
      </c>
      <c r="C2" t="inlineStr">
        <is>
          <t>MonoBr</t>
        </is>
      </c>
      <c r="D2" t="n">
        <v>0.105</v>
      </c>
      <c r="G2" t="n">
        <v>16.82841</v>
      </c>
      <c r="H2" t="n">
        <v>1.5559</v>
      </c>
      <c r="I2" t="inlineStr">
        <is>
          <t>HexaCl</t>
        </is>
      </c>
      <c r="K2" t="n">
        <v>17.06427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20.19932</v>
      </c>
      <c r="B3" t="n">
        <v>-4.4228</v>
      </c>
      <c r="C3" t="inlineStr">
        <is>
          <t>1,4-DiBr</t>
        </is>
      </c>
      <c r="D3" t="n">
        <v>0.1167</v>
      </c>
      <c r="G3" t="n">
        <v>17.96238</v>
      </c>
      <c r="H3" t="n">
        <v>-1.6198</v>
      </c>
      <c r="I3" t="inlineStr">
        <is>
          <t>PentaCl</t>
        </is>
      </c>
      <c r="K3" t="n">
        <v>16.34236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19.52932</v>
      </c>
      <c r="B4" t="n">
        <v>-3.4143</v>
      </c>
      <c r="C4" t="inlineStr">
        <is>
          <t>1,3-DiBr</t>
        </is>
      </c>
      <c r="D4" t="n">
        <v>0.09420000000000001</v>
      </c>
      <c r="G4" t="n">
        <v>19.64864</v>
      </c>
      <c r="H4" t="n">
        <v>-1.22</v>
      </c>
      <c r="I4" t="inlineStr">
        <is>
          <t>1,2,4,5-TetraCl</t>
        </is>
      </c>
    </row>
    <row r="5">
      <c r="A5" t="n">
        <v>17.74253</v>
      </c>
      <c r="B5" t="n">
        <v>-0.5978</v>
      </c>
      <c r="C5" t="inlineStr">
        <is>
          <t>1,2,4-TriBr</t>
        </is>
      </c>
      <c r="D5" t="n">
        <v>0.1491</v>
      </c>
      <c r="G5" t="n">
        <v>20.97932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18.54909</v>
      </c>
      <c r="B6" t="n">
        <v>-0.1054</v>
      </c>
      <c r="C6" t="inlineStr">
        <is>
          <t>1,3,5-TriBr</t>
        </is>
      </c>
      <c r="D6" t="n">
        <v>0.1667</v>
      </c>
      <c r="G6" t="n">
        <v>22.32932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16.72864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11.72841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0.77,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LUMO_RA_eV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LUMO_RA_eV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LUMO_RA_eV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-1.7437</v>
      </c>
      <c r="B2" t="n">
        <v>-6.2146</v>
      </c>
      <c r="C2" t="inlineStr">
        <is>
          <t>MonoBr</t>
        </is>
      </c>
      <c r="D2" t="n">
        <v>0.105</v>
      </c>
      <c r="G2" t="n">
        <v>-2.8001</v>
      </c>
      <c r="H2" t="n">
        <v>1.5559</v>
      </c>
      <c r="I2" t="inlineStr">
        <is>
          <t>HexaCl</t>
        </is>
      </c>
      <c r="K2" t="n">
        <v>-1.932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-1.6188</v>
      </c>
      <c r="B3" t="n">
        <v>-4.4228</v>
      </c>
      <c r="C3" t="inlineStr">
        <is>
          <t>1,4-DiBr</t>
        </is>
      </c>
      <c r="D3" t="n">
        <v>0.1167</v>
      </c>
      <c r="G3" t="n">
        <v>-2.7135</v>
      </c>
      <c r="H3" t="n">
        <v>-1.6198</v>
      </c>
      <c r="I3" t="inlineStr">
        <is>
          <t>PentaCl</t>
        </is>
      </c>
      <c r="P3">
        <f>MAX($A$2:$A$8)</f>
        <v/>
      </c>
      <c r="Q3">
        <f>$Q$6+$Q$5*P3</f>
        <v/>
      </c>
    </row>
    <row r="4">
      <c r="A4" t="n">
        <v>-1.7255</v>
      </c>
      <c r="B4" t="n">
        <v>-3.4143</v>
      </c>
      <c r="C4" t="inlineStr">
        <is>
          <t>1,3-DiBr</t>
        </is>
      </c>
      <c r="D4" t="n">
        <v>0.09420000000000001</v>
      </c>
      <c r="G4" t="n">
        <v>-2.4798</v>
      </c>
      <c r="H4" t="n">
        <v>-1.22</v>
      </c>
      <c r="I4" t="inlineStr">
        <is>
          <t>1,2,4,5-TetraCl</t>
        </is>
      </c>
    </row>
    <row r="5">
      <c r="A5" t="n">
        <v>-2.0145</v>
      </c>
      <c r="B5" t="n">
        <v>-0.5978</v>
      </c>
      <c r="C5" t="inlineStr">
        <is>
          <t>1,2,4-TriBr</t>
        </is>
      </c>
      <c r="D5" t="n">
        <v>0.1491</v>
      </c>
      <c r="G5" t="n">
        <v>-3.0937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-1.9519</v>
      </c>
      <c r="B6" t="n">
        <v>-0.1054</v>
      </c>
      <c r="C6" t="inlineStr">
        <is>
          <t>1,3,5-TriBr</t>
        </is>
      </c>
      <c r="D6" t="n">
        <v>0.1667</v>
      </c>
      <c r="G6" t="n">
        <v>-0.1641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-2.0667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-2.5353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dG_ET_any_kcal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dG_ET_any_kcal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dG_ET_any_kcal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-60.42</v>
      </c>
      <c r="B2" t="n">
        <v>-6.2146</v>
      </c>
      <c r="C2" t="inlineStr">
        <is>
          <t>MonoBr</t>
        </is>
      </c>
      <c r="D2" t="n">
        <v>0.105</v>
      </c>
      <c r="G2" t="n">
        <v>-73.5</v>
      </c>
      <c r="H2" t="n">
        <v>1.5559</v>
      </c>
      <c r="I2" t="inlineStr">
        <is>
          <t>HexaCl</t>
        </is>
      </c>
      <c r="K2" t="n">
        <v>-63.25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-61.54</v>
      </c>
      <c r="B3" t="n">
        <v>-4.4228</v>
      </c>
      <c r="C3" t="inlineStr">
        <is>
          <t>1,4-DiBr</t>
        </is>
      </c>
      <c r="D3" t="n">
        <v>0.1167</v>
      </c>
      <c r="G3" t="n">
        <v>-71.62</v>
      </c>
      <c r="H3" t="n">
        <v>-1.6198</v>
      </c>
      <c r="I3" t="inlineStr">
        <is>
          <t>PentaCl</t>
        </is>
      </c>
      <c r="P3">
        <f>MAX($A$2:$A$8)</f>
        <v/>
      </c>
      <c r="Q3">
        <f>$Q$6+$Q$5*P3</f>
        <v/>
      </c>
    </row>
    <row r="4">
      <c r="A4" t="n">
        <v>-61.54</v>
      </c>
      <c r="B4" t="n">
        <v>-3.4143</v>
      </c>
      <c r="C4" t="inlineStr">
        <is>
          <t>1,3-DiBr</t>
        </is>
      </c>
      <c r="D4" t="n">
        <v>0.09420000000000001</v>
      </c>
      <c r="G4" t="n">
        <v>-67.72</v>
      </c>
      <c r="H4" t="n">
        <v>-1.22</v>
      </c>
      <c r="I4" t="inlineStr">
        <is>
          <t>1,2,4,5-TetraCl</t>
        </is>
      </c>
    </row>
    <row r="5">
      <c r="A5" t="n">
        <v>-65.84999999999999</v>
      </c>
      <c r="B5" t="n">
        <v>-0.5978</v>
      </c>
      <c r="C5" t="inlineStr">
        <is>
          <t>1,2,4-TriBr</t>
        </is>
      </c>
      <c r="D5" t="n">
        <v>0.1491</v>
      </c>
      <c r="G5" t="n">
        <v>-70.06999999999999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-64.5</v>
      </c>
      <c r="B6" t="n">
        <v>-0.1054</v>
      </c>
      <c r="C6" t="inlineStr">
        <is>
          <t>1,3,5-TriBr</t>
        </is>
      </c>
      <c r="D6" t="n">
        <v>0.1667</v>
      </c>
      <c r="G6" t="n">
        <v>-38.68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-68.09999999999999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-77.05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0.75,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VEA_eV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VEA_eV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VEA_eV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1.013</v>
      </c>
      <c r="B2" t="n">
        <v>-6.2146</v>
      </c>
      <c r="C2" t="inlineStr">
        <is>
          <t>MonoBr</t>
        </is>
      </c>
      <c r="D2" t="n">
        <v>0.105</v>
      </c>
      <c r="G2" t="n">
        <v>1.88</v>
      </c>
      <c r="H2" t="n">
        <v>1.5559</v>
      </c>
      <c r="I2" t="inlineStr">
        <is>
          <t>HexaCl</t>
        </is>
      </c>
      <c r="K2" t="n">
        <v>1.503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1.234</v>
      </c>
      <c r="B3" t="n">
        <v>-4.4228</v>
      </c>
      <c r="C3" t="inlineStr">
        <is>
          <t>1,4-DiBr</t>
        </is>
      </c>
      <c r="D3" t="n">
        <v>0.1167</v>
      </c>
      <c r="G3" t="n">
        <v>1.765</v>
      </c>
      <c r="H3" t="n">
        <v>-1.6198</v>
      </c>
      <c r="I3" t="inlineStr">
        <is>
          <t>PentaCl</t>
        </is>
      </c>
      <c r="K3" t="n">
        <v>1.64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1.245</v>
      </c>
      <c r="B4" t="n">
        <v>-3.4143</v>
      </c>
      <c r="C4" t="inlineStr">
        <is>
          <t>1,3-DiBr</t>
        </is>
      </c>
      <c r="D4" t="n">
        <v>0.09420000000000001</v>
      </c>
      <c r="G4" t="n">
        <v>1.653</v>
      </c>
      <c r="H4" t="n">
        <v>-1.22</v>
      </c>
      <c r="I4" t="inlineStr">
        <is>
          <t>1,2,4,5-TetraCl</t>
        </is>
      </c>
    </row>
    <row r="5">
      <c r="A5" t="n">
        <v>1.521</v>
      </c>
      <c r="B5" t="n">
        <v>-0.5978</v>
      </c>
      <c r="C5" t="inlineStr">
        <is>
          <t>1,2,4-TriBr</t>
        </is>
      </c>
      <c r="D5" t="n">
        <v>0.1491</v>
      </c>
      <c r="G5" t="n">
        <v>1.217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1.472</v>
      </c>
      <c r="B6" t="n">
        <v>-0.1054</v>
      </c>
      <c r="C6" t="inlineStr">
        <is>
          <t>1,3,5-TriBr</t>
        </is>
      </c>
      <c r="D6" t="n">
        <v>0.1667</v>
      </c>
      <c r="G6" t="n">
        <v>1.254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1.815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2.688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0.75,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omega_dSCF_eV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omega_dSCF_eV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omega_dSCF_eV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1.316</v>
      </c>
      <c r="B2" t="n">
        <v>-6.2146</v>
      </c>
      <c r="C2" t="inlineStr">
        <is>
          <t>MonoBr</t>
        </is>
      </c>
      <c r="D2" t="n">
        <v>0.105</v>
      </c>
      <c r="G2" t="n">
        <v>1.94</v>
      </c>
      <c r="H2" t="n">
        <v>1.5559</v>
      </c>
      <c r="I2" t="inlineStr">
        <is>
          <t>HexaCl</t>
        </is>
      </c>
      <c r="K2" t="n">
        <v>1.59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1.447</v>
      </c>
      <c r="B3" t="n">
        <v>-4.4228</v>
      </c>
      <c r="C3" t="inlineStr">
        <is>
          <t>1,4-DiBr</t>
        </is>
      </c>
      <c r="D3" t="n">
        <v>0.1167</v>
      </c>
      <c r="G3" t="n">
        <v>1.841</v>
      </c>
      <c r="H3" t="n">
        <v>-1.6198</v>
      </c>
      <c r="I3" t="inlineStr">
        <is>
          <t>PentaCl</t>
        </is>
      </c>
      <c r="K3" t="n">
        <v>1.706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1.466</v>
      </c>
      <c r="B4" t="n">
        <v>-3.4143</v>
      </c>
      <c r="C4" t="inlineStr">
        <is>
          <t>1,3-DiBr</t>
        </is>
      </c>
      <c r="D4" t="n">
        <v>0.09420000000000001</v>
      </c>
      <c r="G4" t="n">
        <v>1.746</v>
      </c>
      <c r="H4" t="n">
        <v>-1.22</v>
      </c>
      <c r="I4" t="inlineStr">
        <is>
          <t>1,2,4,5-TetraCl</t>
        </is>
      </c>
    </row>
    <row r="5">
      <c r="A5" t="n">
        <v>1.649</v>
      </c>
      <c r="B5" t="n">
        <v>-0.5978</v>
      </c>
      <c r="C5" t="inlineStr">
        <is>
          <t>1,2,4-TriBr</t>
        </is>
      </c>
      <c r="D5" t="n">
        <v>0.1491</v>
      </c>
      <c r="G5" t="n">
        <v>1.446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1.637</v>
      </c>
      <c r="B6" t="n">
        <v>-0.1054</v>
      </c>
      <c r="C6" t="inlineStr">
        <is>
          <t>1,3,5-TriBr</t>
        </is>
      </c>
      <c r="D6" t="n">
        <v>0.1667</v>
      </c>
      <c r="G6" t="n">
        <v>1.457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1.874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2.706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0.68,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min_dG_1e_kcal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min_dG_1e_kcal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min_dG_1e_kcal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-63.58</v>
      </c>
      <c r="B2" t="n">
        <v>-6.2146</v>
      </c>
      <c r="C2" t="inlineStr">
        <is>
          <t>MonoBr</t>
        </is>
      </c>
      <c r="D2" t="n">
        <v>0.105</v>
      </c>
      <c r="G2" t="n">
        <v>-74.03</v>
      </c>
      <c r="H2" t="n">
        <v>1.5559</v>
      </c>
      <c r="I2" t="inlineStr">
        <is>
          <t>HexaCl</t>
        </is>
      </c>
      <c r="K2" t="n">
        <v>-66.26000000000001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-64.03</v>
      </c>
      <c r="B3" t="n">
        <v>-4.4228</v>
      </c>
      <c r="C3" t="inlineStr">
        <is>
          <t>1,4-DiBr</t>
        </is>
      </c>
      <c r="D3" t="n">
        <v>0.1167</v>
      </c>
      <c r="G3" t="n">
        <v>-73.41</v>
      </c>
      <c r="H3" t="n">
        <v>-1.6198</v>
      </c>
      <c r="I3" t="inlineStr">
        <is>
          <t>PentaCl</t>
        </is>
      </c>
      <c r="K3" t="n">
        <v>-67.25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-65.02</v>
      </c>
      <c r="B4" t="n">
        <v>-3.4143</v>
      </c>
      <c r="C4" t="inlineStr">
        <is>
          <t>1,3-DiBr</t>
        </is>
      </c>
      <c r="D4" t="n">
        <v>0.09420000000000001</v>
      </c>
      <c r="G4" t="n">
        <v>-70.79000000000001</v>
      </c>
      <c r="H4" t="n">
        <v>-1.22</v>
      </c>
      <c r="I4" t="inlineStr">
        <is>
          <t>1,2,4,5-TetraCl</t>
        </is>
      </c>
    </row>
    <row r="5">
      <c r="A5" t="n">
        <v>-67.31</v>
      </c>
      <c r="B5" t="n">
        <v>-0.5978</v>
      </c>
      <c r="C5" t="inlineStr">
        <is>
          <t>1,2,4-TriBr</t>
        </is>
      </c>
      <c r="D5" t="n">
        <v>0.1491</v>
      </c>
      <c r="G5" t="n">
        <v>-70.02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-65.45999999999999</v>
      </c>
      <c r="B6" t="n">
        <v>-0.1054</v>
      </c>
      <c r="C6" t="inlineStr">
        <is>
          <t>1,3,5-TriBr</t>
        </is>
      </c>
      <c r="D6" t="n">
        <v>0.1667</v>
      </c>
      <c r="G6" t="n">
        <v>-67.98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-67.84999999999999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-74.56999999999999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0.68,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min_BDE_kcal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min_BDE_kcal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min_BDE_kcal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74.26000000000001</v>
      </c>
      <c r="B2" t="n">
        <v>-6.2146</v>
      </c>
      <c r="C2" t="inlineStr">
        <is>
          <t>MonoBr</t>
        </is>
      </c>
      <c r="D2" t="n">
        <v>0.105</v>
      </c>
      <c r="G2" t="n">
        <v>83.47</v>
      </c>
      <c r="H2" t="n">
        <v>1.5559</v>
      </c>
      <c r="I2" t="inlineStr">
        <is>
          <t>HexaCl</t>
        </is>
      </c>
      <c r="K2" t="n">
        <v>71.69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74.2</v>
      </c>
      <c r="B3" t="n">
        <v>-4.4228</v>
      </c>
      <c r="C3" t="inlineStr">
        <is>
          <t>1,4-DiBr</t>
        </is>
      </c>
      <c r="D3" t="n">
        <v>0.1167</v>
      </c>
      <c r="G3" t="n">
        <v>83.68000000000001</v>
      </c>
      <c r="H3" t="n">
        <v>-1.6198</v>
      </c>
      <c r="I3" t="inlineStr">
        <is>
          <t>PentaCl</t>
        </is>
      </c>
      <c r="K3" t="n">
        <v>71.04000000000001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73.29000000000001</v>
      </c>
      <c r="B4" t="n">
        <v>-3.4143</v>
      </c>
      <c r="C4" t="inlineStr">
        <is>
          <t>1,3-DiBr</t>
        </is>
      </c>
      <c r="D4" t="n">
        <v>0.09420000000000001</v>
      </c>
      <c r="G4" t="n">
        <v>86.94</v>
      </c>
      <c r="H4" t="n">
        <v>-1.22</v>
      </c>
      <c r="I4" t="inlineStr">
        <is>
          <t>1,2,4,5-TetraCl</t>
        </is>
      </c>
    </row>
    <row r="5">
      <c r="A5" t="n">
        <v>70.72</v>
      </c>
      <c r="B5" t="n">
        <v>-0.5978</v>
      </c>
      <c r="C5" t="inlineStr">
        <is>
          <t>1,2,4-TriBr</t>
        </is>
      </c>
      <c r="D5" t="n">
        <v>0.1491</v>
      </c>
      <c r="G5" t="n">
        <v>87.27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72.41</v>
      </c>
      <c r="B6" t="n">
        <v>-0.1054</v>
      </c>
      <c r="C6" t="inlineStr">
        <is>
          <t>1,3,5-TriBr</t>
        </is>
      </c>
      <c r="D6" t="n">
        <v>0.1667</v>
      </c>
      <c r="G6" t="n">
        <v>89.16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70.98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64.16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0.67,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max_dr_CX_RA_A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max_dr_CX_RA_A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max_dr_CX_RA_A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1.34</v>
      </c>
      <c r="B2" t="n">
        <v>-6.2146</v>
      </c>
      <c r="C2" t="inlineStr">
        <is>
          <t>MonoBr</t>
        </is>
      </c>
      <c r="D2" t="n">
        <v>0.105</v>
      </c>
      <c r="G2" t="n">
        <v>0.7995</v>
      </c>
      <c r="H2" t="n">
        <v>1.5559</v>
      </c>
      <c r="I2" t="inlineStr">
        <is>
          <t>HexaCl</t>
        </is>
      </c>
      <c r="K2" t="n">
        <v>0.0034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0.0095</v>
      </c>
      <c r="B3" t="n">
        <v>-4.4228</v>
      </c>
      <c r="C3" t="inlineStr">
        <is>
          <t>1,4-DiBr</t>
        </is>
      </c>
      <c r="D3" t="n">
        <v>0.1167</v>
      </c>
      <c r="G3" t="n">
        <v>0.8373</v>
      </c>
      <c r="H3" t="n">
        <v>-1.6198</v>
      </c>
      <c r="I3" t="inlineStr">
        <is>
          <t>PentaCl</t>
        </is>
      </c>
      <c r="P3">
        <f>MAX($A$2:$A$8)</f>
        <v/>
      </c>
      <c r="Q3">
        <f>$Q$6+$Q$5*P3</f>
        <v/>
      </c>
    </row>
    <row r="4">
      <c r="A4" t="n">
        <v>0.018</v>
      </c>
      <c r="B4" t="n">
        <v>-3.4143</v>
      </c>
      <c r="C4" t="inlineStr">
        <is>
          <t>1,3-DiBr</t>
        </is>
      </c>
      <c r="D4" t="n">
        <v>0.09420000000000001</v>
      </c>
      <c r="G4" t="n">
        <v>0.024</v>
      </c>
      <c r="H4" t="n">
        <v>-1.22</v>
      </c>
      <c r="I4" t="inlineStr">
        <is>
          <t>1,2,4,5-TetraCl</t>
        </is>
      </c>
    </row>
    <row r="5">
      <c r="A5" t="n">
        <v>0.84</v>
      </c>
      <c r="B5" t="n">
        <v>-0.5978</v>
      </c>
      <c r="C5" t="inlineStr">
        <is>
          <t>1,2,4-TriBr</t>
        </is>
      </c>
      <c r="D5" t="n">
        <v>0.1491</v>
      </c>
      <c r="G5" t="n">
        <v>5.221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0.0219</v>
      </c>
      <c r="B6" t="n">
        <v>-0.1054</v>
      </c>
      <c r="C6" t="inlineStr">
        <is>
          <t>1,3,5-TriBr</t>
        </is>
      </c>
      <c r="D6" t="n">
        <v>0.1667</v>
      </c>
      <c r="G6" t="n">
        <v>0.0391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0.0097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0.0832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0.24,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max_fplus_CX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max_fplus_CX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max_fplus_CX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0.1124</v>
      </c>
      <c r="B2" t="n">
        <v>-6.2146</v>
      </c>
      <c r="C2" t="inlineStr">
        <is>
          <t>MonoBr</t>
        </is>
      </c>
      <c r="D2" t="n">
        <v>0.105</v>
      </c>
      <c r="G2" t="n">
        <v>0.2295</v>
      </c>
      <c r="H2" t="n">
        <v>1.5559</v>
      </c>
      <c r="I2" t="inlineStr">
        <is>
          <t>HexaCl</t>
        </is>
      </c>
      <c r="K2" t="n">
        <v>0.0946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0.1192</v>
      </c>
      <c r="B3" t="n">
        <v>-4.4228</v>
      </c>
      <c r="C3" t="inlineStr">
        <is>
          <t>1,4-DiBr</t>
        </is>
      </c>
      <c r="D3" t="n">
        <v>0.1167</v>
      </c>
      <c r="G3" t="n">
        <v>0.2265</v>
      </c>
      <c r="H3" t="n">
        <v>-1.6198</v>
      </c>
      <c r="I3" t="inlineStr">
        <is>
          <t>PentaCl</t>
        </is>
      </c>
      <c r="K3" t="n">
        <v>0.1357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0.1533</v>
      </c>
      <c r="B4" t="n">
        <v>-3.4143</v>
      </c>
      <c r="C4" t="inlineStr">
        <is>
          <t>1,3-DiBr</t>
        </is>
      </c>
      <c r="D4" t="n">
        <v>0.09420000000000001</v>
      </c>
      <c r="G4" t="n">
        <v>0.1388</v>
      </c>
      <c r="H4" t="n">
        <v>-1.22</v>
      </c>
      <c r="I4" t="inlineStr">
        <is>
          <t>1,2,4,5-TetraCl</t>
        </is>
      </c>
    </row>
    <row r="5">
      <c r="A5" t="n">
        <v>0.3598</v>
      </c>
      <c r="B5" t="n">
        <v>-0.5978</v>
      </c>
      <c r="C5" t="inlineStr">
        <is>
          <t>1,2,4-TriBr</t>
        </is>
      </c>
      <c r="D5" t="n">
        <v>0.1491</v>
      </c>
      <c r="G5" t="n">
        <v>0.1334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0.126</v>
      </c>
      <c r="B6" t="n">
        <v>-0.1054</v>
      </c>
      <c r="C6" t="inlineStr">
        <is>
          <t>1,3,5-TriBr</t>
        </is>
      </c>
      <c r="D6" t="n">
        <v>0.1667</v>
      </c>
      <c r="G6" t="n">
        <v>0.1166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0.2063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0.1667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B3LYP/6-311++G(d),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0.16,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min_dG_rad_red_kcal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min_dG_rad_red_kcal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min_dG_rad_red_kcal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-23.72</v>
      </c>
      <c r="B2" t="n">
        <v>-6.2146</v>
      </c>
      <c r="C2" t="inlineStr">
        <is>
          <t>MonoBr</t>
        </is>
      </c>
      <c r="D2" t="n">
        <v>0.105</v>
      </c>
      <c r="G2" t="n">
        <v>-70.69</v>
      </c>
      <c r="H2" t="n">
        <v>1.5559</v>
      </c>
      <c r="I2" t="inlineStr">
        <is>
          <t>HexaCl</t>
        </is>
      </c>
      <c r="K2" t="n">
        <v>-60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-33.53</v>
      </c>
      <c r="B3" t="n">
        <v>-4.4228</v>
      </c>
      <c r="C3" t="inlineStr">
        <is>
          <t>1,4-DiBr</t>
        </is>
      </c>
      <c r="D3" t="n">
        <v>0.1167</v>
      </c>
      <c r="G3" t="n">
        <v>-67.14</v>
      </c>
      <c r="H3" t="n">
        <v>-1.6198</v>
      </c>
      <c r="I3" t="inlineStr">
        <is>
          <t>PentaCl</t>
        </is>
      </c>
      <c r="K3" t="n">
        <v>-70.03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-35.4</v>
      </c>
      <c r="B4" t="n">
        <v>-3.4143</v>
      </c>
      <c r="C4" t="inlineStr">
        <is>
          <t>1,3-DiBr</t>
        </is>
      </c>
      <c r="D4" t="n">
        <v>0.09420000000000001</v>
      </c>
      <c r="G4" t="n">
        <v>-54.67</v>
      </c>
      <c r="H4" t="n">
        <v>-1.22</v>
      </c>
      <c r="I4" t="inlineStr">
        <is>
          <t>1,2,4,5-TetraCl</t>
        </is>
      </c>
    </row>
    <row r="5">
      <c r="A5" t="n">
        <v>-51.53</v>
      </c>
      <c r="B5" t="n">
        <v>-0.5978</v>
      </c>
      <c r="C5" t="inlineStr">
        <is>
          <t>1,2,4-TriBr</t>
        </is>
      </c>
      <c r="D5" t="n">
        <v>0.1491</v>
      </c>
      <c r="G5" t="n">
        <v>-40.16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-45.93</v>
      </c>
      <c r="B6" t="n">
        <v>-0.1054</v>
      </c>
      <c r="C6" t="inlineStr">
        <is>
          <t>1,3,5-TriBr</t>
        </is>
      </c>
      <c r="D6" t="n">
        <v>0.1667</v>
      </c>
      <c r="G6" t="n">
        <v>-32.43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-56.88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-71.11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min_dG_RA_2e_any_kcal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min_dG_RA_2e_any_kcal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min_dG_RA_2e_any_kcal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-23.77</v>
      </c>
      <c r="B2" t="n">
        <v>-6.2146</v>
      </c>
      <c r="C2" t="inlineStr">
        <is>
          <t>MonoBr</t>
        </is>
      </c>
      <c r="D2" t="n">
        <v>0.105</v>
      </c>
      <c r="G2" t="n">
        <v>-48.33</v>
      </c>
      <c r="H2" t="n">
        <v>1.5559</v>
      </c>
      <c r="I2" t="inlineStr">
        <is>
          <t>HexaCl</t>
        </is>
      </c>
      <c r="K2" t="n">
        <v>-46.03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-28.78</v>
      </c>
      <c r="B3" t="n">
        <v>-4.4228</v>
      </c>
      <c r="C3" t="inlineStr">
        <is>
          <t>1,4-DiBr</t>
        </is>
      </c>
      <c r="D3" t="n">
        <v>0.1167</v>
      </c>
      <c r="G3" t="n">
        <v>-47.89</v>
      </c>
      <c r="H3" t="n">
        <v>-1.6198</v>
      </c>
      <c r="I3" t="inlineStr">
        <is>
          <t>PentaCl</t>
        </is>
      </c>
      <c r="K3" t="n">
        <v>-54.93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-30.49</v>
      </c>
      <c r="B4" t="n">
        <v>-3.4143</v>
      </c>
      <c r="C4" t="inlineStr">
        <is>
          <t>1,3-DiBr</t>
        </is>
      </c>
      <c r="D4" t="n">
        <v>0.09420000000000001</v>
      </c>
      <c r="G4" t="n">
        <v>-45.58</v>
      </c>
      <c r="H4" t="n">
        <v>-1.22</v>
      </c>
      <c r="I4" t="inlineStr">
        <is>
          <t>1,2,4,5-TetraCl</t>
        </is>
      </c>
    </row>
    <row r="5">
      <c r="A5" t="n">
        <v>-40.76</v>
      </c>
      <c r="B5" t="n">
        <v>-0.5978</v>
      </c>
      <c r="C5" t="inlineStr">
        <is>
          <t>1,2,4-TriBr</t>
        </is>
      </c>
      <c r="D5" t="n">
        <v>0.1491</v>
      </c>
      <c r="G5" t="n">
        <v>-35.01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-35.26</v>
      </c>
      <c r="B6" t="n">
        <v>-0.1054</v>
      </c>
      <c r="C6" t="inlineStr">
        <is>
          <t>1,3,5-TriBr</t>
        </is>
      </c>
      <c r="D6" t="n">
        <v>0.1667</v>
      </c>
      <c r="G6" t="n">
        <v>-37.41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-42.46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-48.51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0.93,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min_dG_frag_any_kcal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min_dG_frag_any_kcal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min_dG_frag_any_kcal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-0.05</v>
      </c>
      <c r="B2" t="n">
        <v>-6.2146</v>
      </c>
      <c r="C2" t="inlineStr">
        <is>
          <t>MonoBr</t>
        </is>
      </c>
      <c r="D2" t="n">
        <v>0.105</v>
      </c>
      <c r="G2" t="n">
        <v>22.36</v>
      </c>
      <c r="H2" t="n">
        <v>1.5559</v>
      </c>
      <c r="I2" t="inlineStr">
        <is>
          <t>HexaCl</t>
        </is>
      </c>
      <c r="K2" t="n">
        <v>13.97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4.75</v>
      </c>
      <c r="B3" t="n">
        <v>-4.4228</v>
      </c>
      <c r="C3" t="inlineStr">
        <is>
          <t>1,4-DiBr</t>
        </is>
      </c>
      <c r="D3" t="n">
        <v>0.1167</v>
      </c>
      <c r="G3" t="n">
        <v>19.25</v>
      </c>
      <c r="H3" t="n">
        <v>-1.6198</v>
      </c>
      <c r="I3" t="inlineStr">
        <is>
          <t>PentaCl</t>
        </is>
      </c>
      <c r="K3" t="n">
        <v>14.49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4.91</v>
      </c>
      <c r="B4" t="n">
        <v>-3.4143</v>
      </c>
      <c r="C4" t="inlineStr">
        <is>
          <t>1,3-DiBr</t>
        </is>
      </c>
      <c r="D4" t="n">
        <v>0.09420000000000001</v>
      </c>
      <c r="G4" t="n">
        <v>9.08</v>
      </c>
      <c r="H4" t="n">
        <v>-1.22</v>
      </c>
      <c r="I4" t="inlineStr">
        <is>
          <t>1,2,4,5-TetraCl</t>
        </is>
      </c>
    </row>
    <row r="5">
      <c r="A5" t="n">
        <v>10.77</v>
      </c>
      <c r="B5" t="n">
        <v>-0.5978</v>
      </c>
      <c r="C5" t="inlineStr">
        <is>
          <t>1,2,4-TriBr</t>
        </is>
      </c>
      <c r="D5" t="n">
        <v>0.1491</v>
      </c>
      <c r="G5" t="n">
        <v>5.15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10.67</v>
      </c>
      <c r="B6" t="n">
        <v>-0.1054</v>
      </c>
      <c r="C6" t="inlineStr">
        <is>
          <t>1,3,5-TriBr</t>
        </is>
      </c>
      <c r="D6" t="n">
        <v>0.1667</v>
      </c>
      <c r="G6" t="n">
        <v>-4.97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14.43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22.6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0.92,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min_dG_2e_carbanion_kcal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min_dG_2e_carbanion_kcal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min_dG_2e_carbanion_kcal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-31.81</v>
      </c>
      <c r="B2" t="n">
        <v>-6.2146</v>
      </c>
      <c r="C2" t="inlineStr">
        <is>
          <t>MonoBr</t>
        </is>
      </c>
      <c r="D2" t="n">
        <v>0.105</v>
      </c>
      <c r="G2" t="n">
        <v>-73.47</v>
      </c>
      <c r="H2" t="n">
        <v>1.5559</v>
      </c>
      <c r="I2" t="inlineStr">
        <is>
          <t>HexaCl</t>
        </is>
      </c>
      <c r="K2" t="n">
        <v>-69.77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-42.18</v>
      </c>
      <c r="B3" t="n">
        <v>-4.4228</v>
      </c>
      <c r="C3" t="inlineStr">
        <is>
          <t>1,4-DiBr</t>
        </is>
      </c>
      <c r="D3" t="n">
        <v>0.1167</v>
      </c>
      <c r="G3" t="n">
        <v>-68.67</v>
      </c>
      <c r="H3" t="n">
        <v>-1.6198</v>
      </c>
      <c r="I3" t="inlineStr">
        <is>
          <t>PentaCl</t>
        </is>
      </c>
      <c r="K3" t="n">
        <v>-79.58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-44.74</v>
      </c>
      <c r="B4" t="n">
        <v>-3.4143</v>
      </c>
      <c r="C4" t="inlineStr">
        <is>
          <t>1,3-DiBr</t>
        </is>
      </c>
      <c r="D4" t="n">
        <v>0.09420000000000001</v>
      </c>
      <c r="G4" t="n">
        <v>-54.94</v>
      </c>
      <c r="H4" t="n">
        <v>-1.22</v>
      </c>
      <c r="I4" t="inlineStr">
        <is>
          <t>1,2,4,5-TetraCl</t>
        </is>
      </c>
    </row>
    <row r="5">
      <c r="A5" t="n">
        <v>-62.05</v>
      </c>
      <c r="B5" t="n">
        <v>-0.5978</v>
      </c>
      <c r="C5" t="inlineStr">
        <is>
          <t>1,2,4-TriBr</t>
        </is>
      </c>
      <c r="D5" t="n">
        <v>0.1491</v>
      </c>
      <c r="G5" t="n">
        <v>-39.66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-56.2</v>
      </c>
      <c r="B6" t="n">
        <v>-0.1054</v>
      </c>
      <c r="C6" t="inlineStr">
        <is>
          <t>1,3,5-TriBr</t>
        </is>
      </c>
      <c r="D6" t="n">
        <v>0.1667</v>
      </c>
      <c r="G6" t="n">
        <v>-30.91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-68.02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-88.01000000000001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0.92,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dG_ET_any_kcal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dG_ET_any_kcal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dG_ET_any_kcal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-8.039999999999999</v>
      </c>
      <c r="B2" t="n">
        <v>-6.2146</v>
      </c>
      <c r="C2" t="inlineStr">
        <is>
          <t>MonoBr</t>
        </is>
      </c>
      <c r="D2" t="n">
        <v>0.105</v>
      </c>
      <c r="G2" t="n">
        <v>-25.14</v>
      </c>
      <c r="H2" t="n">
        <v>1.5559</v>
      </c>
      <c r="I2" t="inlineStr">
        <is>
          <t>HexaCl</t>
        </is>
      </c>
      <c r="K2" t="n">
        <v>-23.73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-13.4</v>
      </c>
      <c r="B3" t="n">
        <v>-4.4228</v>
      </c>
      <c r="C3" t="inlineStr">
        <is>
          <t>1,4-DiBr</t>
        </is>
      </c>
      <c r="D3" t="n">
        <v>0.1167</v>
      </c>
      <c r="G3" t="n">
        <v>-20.78</v>
      </c>
      <c r="H3" t="n">
        <v>-1.6198</v>
      </c>
      <c r="I3" t="inlineStr">
        <is>
          <t>PentaCl</t>
        </is>
      </c>
      <c r="K3" t="n">
        <v>-24.65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-14.25</v>
      </c>
      <c r="B4" t="n">
        <v>-3.4143</v>
      </c>
      <c r="C4" t="inlineStr">
        <is>
          <t>1,3-DiBr</t>
        </is>
      </c>
      <c r="D4" t="n">
        <v>0.09420000000000001</v>
      </c>
      <c r="G4" t="n">
        <v>-9.35</v>
      </c>
      <c r="H4" t="n">
        <v>-1.22</v>
      </c>
      <c r="I4" t="inlineStr">
        <is>
          <t>1,2,4,5-TetraCl</t>
        </is>
      </c>
    </row>
    <row r="5">
      <c r="A5" t="n">
        <v>-21.29</v>
      </c>
      <c r="B5" t="n">
        <v>-0.5978</v>
      </c>
      <c r="C5" t="inlineStr">
        <is>
          <t>1,2,4-TriBr</t>
        </is>
      </c>
      <c r="D5" t="n">
        <v>0.1491</v>
      </c>
      <c r="G5" t="n">
        <v>-4.66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-20.94</v>
      </c>
      <c r="B6" t="n">
        <v>-0.1054</v>
      </c>
      <c r="C6" t="inlineStr">
        <is>
          <t>1,3,5-TriBr</t>
        </is>
      </c>
      <c r="D6" t="n">
        <v>0.1667</v>
      </c>
      <c r="G6" t="n">
        <v>6.5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-25.56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-39.5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0.87,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n_X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n_X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n_X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</v>
      </c>
      <c r="B2" t="n">
        <v>-6.2146</v>
      </c>
      <c r="C2" t="inlineStr">
        <is>
          <t>MonoBr</t>
        </is>
      </c>
      <c r="D2" t="n">
        <v>0.105</v>
      </c>
      <c r="G2" t="n">
        <v>6</v>
      </c>
      <c r="H2" t="n">
        <v>1.5559</v>
      </c>
      <c r="I2" t="inlineStr">
        <is>
          <t>HexaCl</t>
        </is>
      </c>
      <c r="K2" t="n">
        <v>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</v>
      </c>
      <c r="B3" t="n">
        <v>-4.4228</v>
      </c>
      <c r="C3" t="inlineStr">
        <is>
          <t>1,4-DiBr</t>
        </is>
      </c>
      <c r="D3" t="n">
        <v>0.1167</v>
      </c>
      <c r="G3" t="n">
        <v>5</v>
      </c>
      <c r="H3" t="n">
        <v>-1.6198</v>
      </c>
      <c r="I3" t="inlineStr">
        <is>
          <t>PentaCl</t>
        </is>
      </c>
      <c r="K3" t="n">
        <v>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</v>
      </c>
      <c r="B4" t="n">
        <v>-3.4143</v>
      </c>
      <c r="C4" t="inlineStr">
        <is>
          <t>1,3-DiBr</t>
        </is>
      </c>
      <c r="D4" t="n">
        <v>0.09420000000000001</v>
      </c>
      <c r="G4" t="n">
        <v>4</v>
      </c>
      <c r="H4" t="n">
        <v>-1.22</v>
      </c>
      <c r="I4" t="inlineStr">
        <is>
          <t>1,2,4,5-TetraCl</t>
        </is>
      </c>
    </row>
    <row r="5">
      <c r="A5" t="n">
        <v>3</v>
      </c>
      <c r="B5" t="n">
        <v>-0.5978</v>
      </c>
      <c r="C5" t="inlineStr">
        <is>
          <t>1,2,4-TriBr</t>
        </is>
      </c>
      <c r="D5" t="n">
        <v>0.1491</v>
      </c>
      <c r="G5" t="n">
        <v>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3</v>
      </c>
      <c r="B6" t="n">
        <v>-0.1054</v>
      </c>
      <c r="C6" t="inlineStr">
        <is>
          <t>1,3,5-TriBr</t>
        </is>
      </c>
      <c r="D6" t="n">
        <v>0.1667</v>
      </c>
      <c r="G6" t="n">
        <v>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min_wiberg_CX_parent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min_wiberg_CX_parent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min_wiberg_CX_parent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1.041</v>
      </c>
      <c r="B2" t="n">
        <v>-6.2146</v>
      </c>
      <c r="C2" t="inlineStr">
        <is>
          <t>MonoBr</t>
        </is>
      </c>
      <c r="D2" t="n">
        <v>0.105</v>
      </c>
      <c r="G2" t="n">
        <v>1.0898</v>
      </c>
      <c r="H2" t="n">
        <v>1.5559</v>
      </c>
      <c r="I2" t="inlineStr">
        <is>
          <t>HexaCl</t>
        </is>
      </c>
      <c r="K2" t="n">
        <v>1.043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1.0456</v>
      </c>
      <c r="B3" t="n">
        <v>-4.4228</v>
      </c>
      <c r="C3" t="inlineStr">
        <is>
          <t>1,4-DiBr</t>
        </is>
      </c>
      <c r="D3" t="n">
        <v>0.1167</v>
      </c>
      <c r="G3" t="n">
        <v>1.08</v>
      </c>
      <c r="H3" t="n">
        <v>-1.6198</v>
      </c>
      <c r="I3" t="inlineStr">
        <is>
          <t>PentaCl</t>
        </is>
      </c>
      <c r="K3" t="n">
        <v>1.0492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1.0467</v>
      </c>
      <c r="B4" t="n">
        <v>-3.4143</v>
      </c>
      <c r="C4" t="inlineStr">
        <is>
          <t>1,3-DiBr</t>
        </is>
      </c>
      <c r="D4" t="n">
        <v>0.09420000000000001</v>
      </c>
      <c r="G4" t="n">
        <v>1.0771</v>
      </c>
      <c r="H4" t="n">
        <v>-1.22</v>
      </c>
      <c r="I4" t="inlineStr">
        <is>
          <t>1,2,4,5-TetraCl</t>
        </is>
      </c>
    </row>
    <row r="5">
      <c r="A5" t="n">
        <v>1.0499</v>
      </c>
      <c r="B5" t="n">
        <v>-0.5978</v>
      </c>
      <c r="C5" t="inlineStr">
        <is>
          <t>1,2,4-TriBr</t>
        </is>
      </c>
      <c r="D5" t="n">
        <v>0.1491</v>
      </c>
      <c r="G5" t="n">
        <v>1.0691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1.0515</v>
      </c>
      <c r="B6" t="n">
        <v>-0.1054</v>
      </c>
      <c r="C6" t="inlineStr">
        <is>
          <t>1,3,5-TriBr</t>
        </is>
      </c>
      <c r="D6" t="n">
        <v>0.1667</v>
      </c>
      <c r="G6" t="n">
        <v>1.0586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1.0586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1.0669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VEA_eV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VEA_eV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VEA_eV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-0.76</v>
      </c>
      <c r="B2" t="n">
        <v>-6.2146</v>
      </c>
      <c r="C2" t="inlineStr">
        <is>
          <t>MonoBr</t>
        </is>
      </c>
      <c r="D2" t="n">
        <v>0.105</v>
      </c>
      <c r="G2" t="n">
        <v>0.242</v>
      </c>
      <c r="H2" t="n">
        <v>1.5559</v>
      </c>
      <c r="I2" t="inlineStr">
        <is>
          <t>HexaCl</t>
        </is>
      </c>
      <c r="K2" t="n">
        <v>0.042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-1.072</v>
      </c>
      <c r="B3" t="n">
        <v>-4.4228</v>
      </c>
      <c r="C3" t="inlineStr">
        <is>
          <t>1,4-DiBr</t>
        </is>
      </c>
      <c r="D3" t="n">
        <v>0.1167</v>
      </c>
      <c r="G3" t="n">
        <v>0.081</v>
      </c>
      <c r="H3" t="n">
        <v>-1.6198</v>
      </c>
      <c r="I3" t="inlineStr">
        <is>
          <t>PentaCl</t>
        </is>
      </c>
      <c r="K3" t="n">
        <v>0.192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-0.638</v>
      </c>
      <c r="B4" t="n">
        <v>-3.4143</v>
      </c>
      <c r="C4" t="inlineStr">
        <is>
          <t>1,3-DiBr</t>
        </is>
      </c>
      <c r="D4" t="n">
        <v>0.09420000000000001</v>
      </c>
      <c r="G4" t="n">
        <v>-0.09</v>
      </c>
      <c r="H4" t="n">
        <v>-1.22</v>
      </c>
      <c r="I4" t="inlineStr">
        <is>
          <t>1,2,4,5-TetraCl</t>
        </is>
      </c>
    </row>
    <row r="5">
      <c r="A5" t="n">
        <v>-0.252</v>
      </c>
      <c r="B5" t="n">
        <v>-0.5978</v>
      </c>
      <c r="C5" t="inlineStr">
        <is>
          <t>1,2,4-TriBr</t>
        </is>
      </c>
      <c r="D5" t="n">
        <v>0.1491</v>
      </c>
      <c r="G5" t="n">
        <v>-0.791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-0.2</v>
      </c>
      <c r="B6" t="n">
        <v>-0.1054</v>
      </c>
      <c r="C6" t="inlineStr">
        <is>
          <t>1,3,5-TriBr</t>
        </is>
      </c>
      <c r="D6" t="n">
        <v>0.1667</v>
      </c>
      <c r="G6" t="n">
        <v>-0.72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0.056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0.876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min_dG_2e_HDH_kcal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min_dG_2e_HDH_kcal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min_dG_2e_HDH_kcal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-420.73</v>
      </c>
      <c r="B2" t="n">
        <v>-6.2146</v>
      </c>
      <c r="C2" t="inlineStr">
        <is>
          <t>MonoBr</t>
        </is>
      </c>
      <c r="D2" t="n">
        <v>0.105</v>
      </c>
      <c r="G2" t="n">
        <v>-419.86</v>
      </c>
      <c r="H2" t="n">
        <v>1.5559</v>
      </c>
      <c r="I2" t="inlineStr">
        <is>
          <t>HexaCl</t>
        </is>
      </c>
      <c r="K2" t="n">
        <v>-424.42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-423.09</v>
      </c>
      <c r="B3" t="n">
        <v>-4.4228</v>
      </c>
      <c r="C3" t="inlineStr">
        <is>
          <t>1,4-DiBr</t>
        </is>
      </c>
      <c r="D3" t="n">
        <v>0.1167</v>
      </c>
      <c r="G3" t="n">
        <v>-417.97</v>
      </c>
      <c r="H3" t="n">
        <v>-1.6198</v>
      </c>
      <c r="I3" t="inlineStr">
        <is>
          <t>PentaCl</t>
        </is>
      </c>
      <c r="K3" t="n">
        <v>-425.59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-422.85</v>
      </c>
      <c r="B4" t="n">
        <v>-3.4143</v>
      </c>
      <c r="C4" t="inlineStr">
        <is>
          <t>1,3-DiBr</t>
        </is>
      </c>
      <c r="D4" t="n">
        <v>0.09420000000000001</v>
      </c>
      <c r="G4" t="n">
        <v>-416.53</v>
      </c>
      <c r="H4" t="n">
        <v>-1.22</v>
      </c>
      <c r="I4" t="inlineStr">
        <is>
          <t>1,2,4,5-TetraCl</t>
        </is>
      </c>
    </row>
    <row r="5">
      <c r="A5" t="n">
        <v>-425.07</v>
      </c>
      <c r="B5" t="n">
        <v>-0.5978</v>
      </c>
      <c r="C5" t="inlineStr">
        <is>
          <t>1,2,4-TriBr</t>
        </is>
      </c>
      <c r="D5" t="n">
        <v>0.1491</v>
      </c>
      <c r="G5" t="n">
        <v>-414.55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-424.28</v>
      </c>
      <c r="B6" t="n">
        <v>-0.1054</v>
      </c>
      <c r="C6" t="inlineStr">
        <is>
          <t>1,3,5-TriBr</t>
        </is>
      </c>
      <c r="D6" t="n">
        <v>0.1667</v>
      </c>
      <c r="G6" t="n">
        <v>-413.02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-426.76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-432.03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0.79,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omega_dSCF_eV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omega_dSCF_eV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omega_dSCF_eV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0.898</v>
      </c>
      <c r="B2" t="n">
        <v>-6.2146</v>
      </c>
      <c r="C2" t="inlineStr">
        <is>
          <t>MonoBr</t>
        </is>
      </c>
      <c r="D2" t="n">
        <v>0.105</v>
      </c>
      <c r="G2" t="n">
        <v>1.288</v>
      </c>
      <c r="H2" t="n">
        <v>1.5559</v>
      </c>
      <c r="I2" t="inlineStr">
        <is>
          <t>HexaCl</t>
        </is>
      </c>
      <c r="K2" t="n">
        <v>1.098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0.791</v>
      </c>
      <c r="B3" t="n">
        <v>-4.4228</v>
      </c>
      <c r="C3" t="inlineStr">
        <is>
          <t>1,4-DiBr</t>
        </is>
      </c>
      <c r="D3" t="n">
        <v>0.1167</v>
      </c>
      <c r="G3" t="n">
        <v>1.212</v>
      </c>
      <c r="H3" t="n">
        <v>-1.6198</v>
      </c>
      <c r="I3" t="inlineStr">
        <is>
          <t>PentaCl</t>
        </is>
      </c>
      <c r="K3" t="n">
        <v>1.162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0.9419999999999999</v>
      </c>
      <c r="B4" t="n">
        <v>-3.4143</v>
      </c>
      <c r="C4" t="inlineStr">
        <is>
          <t>1,3-DiBr</t>
        </is>
      </c>
      <c r="D4" t="n">
        <v>0.09420000000000001</v>
      </c>
      <c r="G4" t="n">
        <v>1.135</v>
      </c>
      <c r="H4" t="n">
        <v>-1.22</v>
      </c>
      <c r="I4" t="inlineStr">
        <is>
          <t>1,2,4,5-TetraCl</t>
        </is>
      </c>
    </row>
    <row r="5">
      <c r="A5" t="n">
        <v>1.054</v>
      </c>
      <c r="B5" t="n">
        <v>-0.5978</v>
      </c>
      <c r="C5" t="inlineStr">
        <is>
          <t>1,2,4-TriBr</t>
        </is>
      </c>
      <c r="D5" t="n">
        <v>0.1491</v>
      </c>
      <c r="G5" t="n">
        <v>0.905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1.115</v>
      </c>
      <c r="B6" t="n">
        <v>-0.1054</v>
      </c>
      <c r="C6" t="inlineStr">
        <is>
          <t>1,3,5-TriBr</t>
        </is>
      </c>
      <c r="D6" t="n">
        <v>0.1667</v>
      </c>
      <c r="G6" t="n">
        <v>0.911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1.165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1.534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LUMO_eV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LUMO_eV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LUMO_eV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-0.11</v>
      </c>
      <c r="B2" t="n">
        <v>-6.2146</v>
      </c>
      <c r="C2" t="inlineStr">
        <is>
          <t>MonoBr</t>
        </is>
      </c>
      <c r="D2" t="n">
        <v>0.105</v>
      </c>
      <c r="G2" t="n">
        <v>-0.948</v>
      </c>
      <c r="H2" t="n">
        <v>1.5559</v>
      </c>
      <c r="I2" t="inlineStr">
        <is>
          <t>HexaCl</t>
        </is>
      </c>
      <c r="K2" t="n">
        <v>-0.723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-0.299</v>
      </c>
      <c r="B3" t="n">
        <v>-4.4228</v>
      </c>
      <c r="C3" t="inlineStr">
        <is>
          <t>1,4-DiBr</t>
        </is>
      </c>
      <c r="D3" t="n">
        <v>0.1167</v>
      </c>
      <c r="G3" t="n">
        <v>-0.85</v>
      </c>
      <c r="H3" t="n">
        <v>-1.6198</v>
      </c>
      <c r="I3" t="inlineStr">
        <is>
          <t>PentaCl</t>
        </is>
      </c>
      <c r="K3" t="n">
        <v>-0.83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-0.273</v>
      </c>
      <c r="B4" t="n">
        <v>-3.4143</v>
      </c>
      <c r="C4" t="inlineStr">
        <is>
          <t>1,3-DiBr</t>
        </is>
      </c>
      <c r="D4" t="n">
        <v>0.09420000000000001</v>
      </c>
      <c r="G4" t="n">
        <v>-0.745</v>
      </c>
      <c r="H4" t="n">
        <v>-1.22</v>
      </c>
      <c r="I4" t="inlineStr">
        <is>
          <t>1,2,4,5-TetraCl</t>
        </is>
      </c>
    </row>
    <row r="5">
      <c r="A5" t="n">
        <v>-0.546</v>
      </c>
      <c r="B5" t="n">
        <v>-0.5978</v>
      </c>
      <c r="C5" t="inlineStr">
        <is>
          <t>1,2,4-TriBr</t>
        </is>
      </c>
      <c r="D5" t="n">
        <v>0.1491</v>
      </c>
      <c r="G5" t="n">
        <v>-0.158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-0.587</v>
      </c>
      <c r="B6" t="n">
        <v>-0.1054</v>
      </c>
      <c r="C6" t="inlineStr">
        <is>
          <t>1,3,5-TriBr</t>
        </is>
      </c>
      <c r="D6" t="n">
        <v>0.1667</v>
      </c>
      <c r="G6" t="n">
        <v>-0.236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-0.794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-1.601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min_dG_1e_kcal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min_dG_1e_kcal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min_dG_1e_kcal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-8.09</v>
      </c>
      <c r="B2" t="n">
        <v>-6.2146</v>
      </c>
      <c r="C2" t="inlineStr">
        <is>
          <t>MonoBr</t>
        </is>
      </c>
      <c r="D2" t="n">
        <v>0.105</v>
      </c>
      <c r="G2" t="n">
        <v>-2.78</v>
      </c>
      <c r="H2" t="n">
        <v>1.5559</v>
      </c>
      <c r="I2" t="inlineStr">
        <is>
          <t>HexaCl</t>
        </is>
      </c>
      <c r="K2" t="n">
        <v>-9.76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-8.65</v>
      </c>
      <c r="B3" t="n">
        <v>-4.4228</v>
      </c>
      <c r="C3" t="inlineStr">
        <is>
          <t>1,4-DiBr</t>
        </is>
      </c>
      <c r="D3" t="n">
        <v>0.1167</v>
      </c>
      <c r="G3" t="n">
        <v>-1.53</v>
      </c>
      <c r="H3" t="n">
        <v>-1.6198</v>
      </c>
      <c r="I3" t="inlineStr">
        <is>
          <t>PentaCl</t>
        </is>
      </c>
      <c r="K3" t="n">
        <v>-10.15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-9.35</v>
      </c>
      <c r="B4" t="n">
        <v>-3.4143</v>
      </c>
      <c r="C4" t="inlineStr">
        <is>
          <t>1,3-DiBr</t>
        </is>
      </c>
      <c r="D4" t="n">
        <v>0.09420000000000001</v>
      </c>
      <c r="G4" t="n">
        <v>-0.27</v>
      </c>
      <c r="H4" t="n">
        <v>-1.22</v>
      </c>
      <c r="I4" t="inlineStr">
        <is>
          <t>1,2,4,5-TetraCl</t>
        </is>
      </c>
    </row>
    <row r="5">
      <c r="A5" t="n">
        <v>-10.52</v>
      </c>
      <c r="B5" t="n">
        <v>-0.5978</v>
      </c>
      <c r="C5" t="inlineStr">
        <is>
          <t>1,2,4-TriBr</t>
        </is>
      </c>
      <c r="D5" t="n">
        <v>0.1491</v>
      </c>
      <c r="G5" t="n">
        <v>0.5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-10.28</v>
      </c>
      <c r="B6" t="n">
        <v>-0.1054</v>
      </c>
      <c r="C6" t="inlineStr">
        <is>
          <t>1,3,5-TriBr</t>
        </is>
      </c>
      <c r="D6" t="n">
        <v>0.1667</v>
      </c>
      <c r="G6" t="n">
        <v>1.52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-11.14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-16.9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0.68,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min_BDE_kcal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min_BDE_kcal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min_BDE_kcal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77.11</v>
      </c>
      <c r="B2" t="n">
        <v>-6.2146</v>
      </c>
      <c r="C2" t="inlineStr">
        <is>
          <t>MonoBr</t>
        </is>
      </c>
      <c r="D2" t="n">
        <v>0.105</v>
      </c>
      <c r="G2" t="n">
        <v>91.03</v>
      </c>
      <c r="H2" t="n">
        <v>1.5559</v>
      </c>
      <c r="I2" t="inlineStr">
        <is>
          <t>HexaCl</t>
        </is>
      </c>
      <c r="K2" t="n">
        <v>76.05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76.95999999999999</v>
      </c>
      <c r="B3" t="n">
        <v>-4.4228</v>
      </c>
      <c r="C3" t="inlineStr">
        <is>
          <t>1,4-DiBr</t>
        </is>
      </c>
      <c r="D3" t="n">
        <v>0.1167</v>
      </c>
      <c r="G3" t="n">
        <v>91.2</v>
      </c>
      <c r="H3" t="n">
        <v>-1.6198</v>
      </c>
      <c r="I3" t="inlineStr">
        <is>
          <t>PentaCl</t>
        </is>
      </c>
      <c r="K3" t="n">
        <v>75.23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76.31999999999999</v>
      </c>
      <c r="B4" t="n">
        <v>-3.4143</v>
      </c>
      <c r="C4" t="inlineStr">
        <is>
          <t>1,3-DiBr</t>
        </is>
      </c>
      <c r="D4" t="n">
        <v>0.09420000000000001</v>
      </c>
      <c r="G4" t="n">
        <v>93.13</v>
      </c>
      <c r="H4" t="n">
        <v>-1.22</v>
      </c>
      <c r="I4" t="inlineStr">
        <is>
          <t>1,2,4,5-TetraCl</t>
        </is>
      </c>
    </row>
    <row r="5">
      <c r="A5" t="n">
        <v>74.89</v>
      </c>
      <c r="B5" t="n">
        <v>-0.5978</v>
      </c>
      <c r="C5" t="inlineStr">
        <is>
          <t>1,2,4-TriBr</t>
        </is>
      </c>
      <c r="D5" t="n">
        <v>0.1491</v>
      </c>
      <c r="G5" t="n">
        <v>93.47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75.65000000000001</v>
      </c>
      <c r="B6" t="n">
        <v>-0.1054</v>
      </c>
      <c r="C6" t="inlineStr">
        <is>
          <t>1,3,5-TriBr</t>
        </is>
      </c>
      <c r="D6" t="n">
        <v>0.1667</v>
      </c>
      <c r="G6" t="n">
        <v>94.37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75.09999999999999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69.97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0.64,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LUMO_RA_eV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LUMO_RA_eV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LUMO_RA_eV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2.169</v>
      </c>
      <c r="B2" t="n">
        <v>-6.2146</v>
      </c>
      <c r="C2" t="inlineStr">
        <is>
          <t>MonoBr</t>
        </is>
      </c>
      <c r="D2" t="n">
        <v>0.105</v>
      </c>
      <c r="G2" t="n">
        <v>2.1696</v>
      </c>
      <c r="H2" t="n">
        <v>1.5559</v>
      </c>
      <c r="I2" t="inlineStr">
        <is>
          <t>HexaCl</t>
        </is>
      </c>
      <c r="K2" t="n">
        <v>2.0662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2.427</v>
      </c>
      <c r="B3" t="n">
        <v>-4.4228</v>
      </c>
      <c r="C3" t="inlineStr">
        <is>
          <t>1,4-DiBr</t>
        </is>
      </c>
      <c r="D3" t="n">
        <v>0.1167</v>
      </c>
      <c r="G3" t="n">
        <v>2.1222</v>
      </c>
      <c r="H3" t="n">
        <v>-1.6198</v>
      </c>
      <c r="I3" t="inlineStr">
        <is>
          <t>PentaCl</t>
        </is>
      </c>
      <c r="K3" t="n">
        <v>1.9143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2.2403</v>
      </c>
      <c r="B4" t="n">
        <v>-3.4143</v>
      </c>
      <c r="C4" t="inlineStr">
        <is>
          <t>1,3-DiBr</t>
        </is>
      </c>
      <c r="D4" t="n">
        <v>0.09420000000000001</v>
      </c>
      <c r="G4" t="n">
        <v>3.0294</v>
      </c>
      <c r="H4" t="n">
        <v>-1.22</v>
      </c>
      <c r="I4" t="inlineStr">
        <is>
          <t>1,2,4,5-TetraCl</t>
        </is>
      </c>
    </row>
    <row r="5">
      <c r="A5" t="n">
        <v>2.2202</v>
      </c>
      <c r="B5" t="n">
        <v>-0.5978</v>
      </c>
      <c r="C5" t="inlineStr">
        <is>
          <t>1,2,4-TriBr</t>
        </is>
      </c>
      <c r="D5" t="n">
        <v>0.1491</v>
      </c>
      <c r="G5" t="n">
        <v>2.233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2.1902</v>
      </c>
      <c r="B6" t="n">
        <v>-0.1054</v>
      </c>
      <c r="C6" t="inlineStr">
        <is>
          <t>1,3,5-TriBr</t>
        </is>
      </c>
      <c r="D6" t="n">
        <v>0.1667</v>
      </c>
      <c r="G6" t="n">
        <v>3.0384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2.0588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1.3208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0.44,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max_dr_CX_RA_A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max_dr_CX_RA_A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max_dr_CX_RA_A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1.0136</v>
      </c>
      <c r="B2" t="n">
        <v>-6.2146</v>
      </c>
      <c r="C2" t="inlineStr">
        <is>
          <t>MonoBr</t>
        </is>
      </c>
      <c r="D2" t="n">
        <v>0.105</v>
      </c>
      <c r="G2" t="n">
        <v>0.0532</v>
      </c>
      <c r="H2" t="n">
        <v>1.5559</v>
      </c>
      <c r="I2" t="inlineStr">
        <is>
          <t>HexaCl</t>
        </is>
      </c>
      <c r="K2" t="n">
        <v>0.0103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0.0234</v>
      </c>
      <c r="B3" t="n">
        <v>-4.4228</v>
      </c>
      <c r="C3" t="inlineStr">
        <is>
          <t>1,4-DiBr</t>
        </is>
      </c>
      <c r="D3" t="n">
        <v>0.1167</v>
      </c>
      <c r="G3" t="n">
        <v>0.5429</v>
      </c>
      <c r="H3" t="n">
        <v>-1.6198</v>
      </c>
      <c r="I3" t="inlineStr">
        <is>
          <t>PentaCl</t>
        </is>
      </c>
      <c r="K3" t="n">
        <v>0.7017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0.0336</v>
      </c>
      <c r="B4" t="n">
        <v>-3.4143</v>
      </c>
      <c r="C4" t="inlineStr">
        <is>
          <t>1,3-DiBr</t>
        </is>
      </c>
      <c r="D4" t="n">
        <v>0.09420000000000001</v>
      </c>
      <c r="G4" t="n">
        <v>0.0483</v>
      </c>
      <c r="H4" t="n">
        <v>-1.22</v>
      </c>
      <c r="I4" t="inlineStr">
        <is>
          <t>1,2,4,5-TetraCl</t>
        </is>
      </c>
    </row>
    <row r="5">
      <c r="A5" t="n">
        <v>0.6785</v>
      </c>
      <c r="B5" t="n">
        <v>-0.5978</v>
      </c>
      <c r="C5" t="inlineStr">
        <is>
          <t>1,2,4-TriBr</t>
        </is>
      </c>
      <c r="D5" t="n">
        <v>0.1491</v>
      </c>
      <c r="G5" t="n">
        <v>0.7839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0.7074</v>
      </c>
      <c r="B6" t="n">
        <v>-0.1054</v>
      </c>
      <c r="C6" t="inlineStr">
        <is>
          <t>1,3,5-TriBr</t>
        </is>
      </c>
      <c r="D6" t="n">
        <v>0.1667</v>
      </c>
      <c r="G6" t="n">
        <v>0.0516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0.0172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0.0665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0.11,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max_fplus_CX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max_fplus_CX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max_fplus_CX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0.0911</v>
      </c>
      <c r="B2" t="n">
        <v>-6.2146</v>
      </c>
      <c r="C2" t="inlineStr">
        <is>
          <t>MonoBr</t>
        </is>
      </c>
      <c r="D2" t="n">
        <v>0.105</v>
      </c>
      <c r="G2" t="n">
        <v>0.2309</v>
      </c>
      <c r="H2" t="n">
        <v>1.5559</v>
      </c>
      <c r="I2" t="inlineStr">
        <is>
          <t>HexaCl</t>
        </is>
      </c>
      <c r="K2" t="n">
        <v>0.1005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0.3699</v>
      </c>
      <c r="B3" t="n">
        <v>-4.4228</v>
      </c>
      <c r="C3" t="inlineStr">
        <is>
          <t>1,4-DiBr</t>
        </is>
      </c>
      <c r="D3" t="n">
        <v>0.1167</v>
      </c>
      <c r="G3" t="n">
        <v>0.2358</v>
      </c>
      <c r="H3" t="n">
        <v>-1.6198</v>
      </c>
      <c r="I3" t="inlineStr">
        <is>
          <t>PentaCl</t>
        </is>
      </c>
      <c r="K3" t="n">
        <v>0.1321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0.1425</v>
      </c>
      <c r="B4" t="n">
        <v>-3.4143</v>
      </c>
      <c r="C4" t="inlineStr">
        <is>
          <t>1,3-DiBr</t>
        </is>
      </c>
      <c r="D4" t="n">
        <v>0.09420000000000001</v>
      </c>
      <c r="G4" t="n">
        <v>0.1501</v>
      </c>
      <c r="H4" t="n">
        <v>-1.22</v>
      </c>
      <c r="I4" t="inlineStr">
        <is>
          <t>1,2,4,5-TetraCl</t>
        </is>
      </c>
    </row>
    <row r="5">
      <c r="A5" t="n">
        <v>0.2598</v>
      </c>
      <c r="B5" t="n">
        <v>-0.5978</v>
      </c>
      <c r="C5" t="inlineStr">
        <is>
          <t>1,2,4-TriBr</t>
        </is>
      </c>
      <c r="D5" t="n">
        <v>0.1491</v>
      </c>
      <c r="G5" t="n">
        <v>0.1588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0.1441</v>
      </c>
      <c r="B6" t="n">
        <v>-0.1054</v>
      </c>
      <c r="C6" t="inlineStr">
        <is>
          <t>1,3,5-TriBr</t>
        </is>
      </c>
      <c r="D6" t="n">
        <v>0.1667</v>
      </c>
      <c r="G6" t="n">
        <v>0.1423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0.1556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0.1667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0.01,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min_dG_rad_red_kcal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min_dG_rad_red_kcal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min_dG_rad_red_kcal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-84.92</v>
      </c>
      <c r="B2" t="n">
        <v>-6.2146</v>
      </c>
      <c r="C2" t="inlineStr">
        <is>
          <t>MonoBr</t>
        </is>
      </c>
      <c r="D2" t="n">
        <v>0.105</v>
      </c>
      <c r="G2" t="n">
        <v>-114.54</v>
      </c>
      <c r="H2" t="n">
        <v>1.5559</v>
      </c>
      <c r="I2" t="inlineStr">
        <is>
          <t>HexaCl</t>
        </is>
      </c>
      <c r="K2" t="n">
        <v>-101.22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-88.37</v>
      </c>
      <c r="B3" t="n">
        <v>-4.4228</v>
      </c>
      <c r="C3" t="inlineStr">
        <is>
          <t>1,4-DiBr</t>
        </is>
      </c>
      <c r="D3" t="n">
        <v>0.1167</v>
      </c>
      <c r="G3" t="n">
        <v>-112.43</v>
      </c>
      <c r="H3" t="n">
        <v>-1.6198</v>
      </c>
      <c r="I3" t="inlineStr">
        <is>
          <t>PentaCl</t>
        </is>
      </c>
      <c r="K3" t="n">
        <v>-108.56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-89.42</v>
      </c>
      <c r="B4" t="n">
        <v>-3.4143</v>
      </c>
      <c r="C4" t="inlineStr">
        <is>
          <t>1,3-DiBr</t>
        </is>
      </c>
      <c r="D4" t="n">
        <v>0.09420000000000001</v>
      </c>
      <c r="G4" t="n">
        <v>-102.48</v>
      </c>
      <c r="H4" t="n">
        <v>-1.22</v>
      </c>
      <c r="I4" t="inlineStr">
        <is>
          <t>1,2,4,5-TetraCl</t>
        </is>
      </c>
    </row>
    <row r="5">
      <c r="A5" t="n">
        <v>-98.09999999999999</v>
      </c>
      <c r="B5" t="n">
        <v>-0.5978</v>
      </c>
      <c r="C5" t="inlineStr">
        <is>
          <t>1,2,4-TriBr</t>
        </is>
      </c>
      <c r="D5" t="n">
        <v>0.1491</v>
      </c>
      <c r="G5" t="n">
        <v>-95.61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-94.37</v>
      </c>
      <c r="B6" t="n">
        <v>-0.1054</v>
      </c>
      <c r="C6" t="inlineStr">
        <is>
          <t>1,3,5-TriBr</t>
        </is>
      </c>
      <c r="D6" t="n">
        <v>0.1667</v>
      </c>
      <c r="G6" t="n">
        <v>-88.27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-101.19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-110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0.89,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min_wiberg_CX_parent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min_wiberg_CX_parent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min_wiberg_CX_parent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1.0326</v>
      </c>
      <c r="B2" t="n">
        <v>-6.2146</v>
      </c>
      <c r="C2" t="inlineStr">
        <is>
          <t>MonoBr</t>
        </is>
      </c>
      <c r="D2" t="n">
        <v>0.105</v>
      </c>
      <c r="G2" t="n">
        <v>1.0858</v>
      </c>
      <c r="H2" t="n">
        <v>1.5559</v>
      </c>
      <c r="I2" t="inlineStr">
        <is>
          <t>HexaCl</t>
        </is>
      </c>
      <c r="K2" t="n">
        <v>1.0374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1.0385</v>
      </c>
      <c r="B3" t="n">
        <v>-4.4228</v>
      </c>
      <c r="C3" t="inlineStr">
        <is>
          <t>1,4-DiBr</t>
        </is>
      </c>
      <c r="D3" t="n">
        <v>0.1167</v>
      </c>
      <c r="G3" t="n">
        <v>1.0752</v>
      </c>
      <c r="H3" t="n">
        <v>-1.6198</v>
      </c>
      <c r="I3" t="inlineStr">
        <is>
          <t>PentaCl</t>
        </is>
      </c>
      <c r="K3" t="n">
        <v>1.0422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1.0397</v>
      </c>
      <c r="B4" t="n">
        <v>-3.4143</v>
      </c>
      <c r="C4" t="inlineStr">
        <is>
          <t>1,3-DiBr</t>
        </is>
      </c>
      <c r="D4" t="n">
        <v>0.09420000000000001</v>
      </c>
      <c r="G4" t="n">
        <v>1.07</v>
      </c>
      <c r="H4" t="n">
        <v>-1.22</v>
      </c>
      <c r="I4" t="inlineStr">
        <is>
          <t>1,2,4,5-TetraCl</t>
        </is>
      </c>
    </row>
    <row r="5">
      <c r="A5" t="n">
        <v>1.0447</v>
      </c>
      <c r="B5" t="n">
        <v>-0.5978</v>
      </c>
      <c r="C5" t="inlineStr">
        <is>
          <t>1,2,4-TriBr</t>
        </is>
      </c>
      <c r="D5" t="n">
        <v>0.1491</v>
      </c>
      <c r="G5" t="n">
        <v>1.0577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1.047</v>
      </c>
      <c r="B6" t="n">
        <v>-0.1054</v>
      </c>
      <c r="C6" t="inlineStr">
        <is>
          <t>1,3,5-TriBr</t>
        </is>
      </c>
      <c r="D6" t="n">
        <v>0.1667</v>
      </c>
      <c r="G6" t="n">
        <v>1.0475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1.0553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1.0656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0.88,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n_X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n_X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n_X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</v>
      </c>
      <c r="B2" t="n">
        <v>-6.2146</v>
      </c>
      <c r="C2" t="inlineStr">
        <is>
          <t>MonoBr</t>
        </is>
      </c>
      <c r="D2" t="n">
        <v>0.105</v>
      </c>
      <c r="G2" t="n">
        <v>6</v>
      </c>
      <c r="H2" t="n">
        <v>1.5559</v>
      </c>
      <c r="I2" t="inlineStr">
        <is>
          <t>HexaCl</t>
        </is>
      </c>
      <c r="K2" t="n">
        <v>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</v>
      </c>
      <c r="B3" t="n">
        <v>-4.4228</v>
      </c>
      <c r="C3" t="inlineStr">
        <is>
          <t>1,4-DiBr</t>
        </is>
      </c>
      <c r="D3" t="n">
        <v>0.1167</v>
      </c>
      <c r="G3" t="n">
        <v>5</v>
      </c>
      <c r="H3" t="n">
        <v>-1.6198</v>
      </c>
      <c r="I3" t="inlineStr">
        <is>
          <t>PentaCl</t>
        </is>
      </c>
      <c r="K3" t="n">
        <v>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</v>
      </c>
      <c r="B4" t="n">
        <v>-3.4143</v>
      </c>
      <c r="C4" t="inlineStr">
        <is>
          <t>1,3-DiBr</t>
        </is>
      </c>
      <c r="D4" t="n">
        <v>0.09420000000000001</v>
      </c>
      <c r="G4" t="n">
        <v>4</v>
      </c>
      <c r="H4" t="n">
        <v>-1.22</v>
      </c>
      <c r="I4" t="inlineStr">
        <is>
          <t>1,2,4,5-TetraCl</t>
        </is>
      </c>
    </row>
    <row r="5">
      <c r="A5" t="n">
        <v>3</v>
      </c>
      <c r="B5" t="n">
        <v>-0.5978</v>
      </c>
      <c r="C5" t="inlineStr">
        <is>
          <t>1,2,4-TriBr</t>
        </is>
      </c>
      <c r="D5" t="n">
        <v>0.1491</v>
      </c>
      <c r="G5" t="n">
        <v>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3</v>
      </c>
      <c r="B6" t="n">
        <v>-0.1054</v>
      </c>
      <c r="C6" t="inlineStr">
        <is>
          <t>1,3,5-TriBr</t>
        </is>
      </c>
      <c r="D6" t="n">
        <v>0.1667</v>
      </c>
      <c r="G6" t="n">
        <v>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min_dG_2e_carbanion_kcal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min_dG_2e_carbanion_kcal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min_dG_2e_carbanion_kcal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-143.45</v>
      </c>
      <c r="B2" t="n">
        <v>-6.2146</v>
      </c>
      <c r="C2" t="inlineStr">
        <is>
          <t>MonoBr</t>
        </is>
      </c>
      <c r="D2" t="n">
        <v>0.105</v>
      </c>
      <c r="G2" t="n">
        <v>-180.17</v>
      </c>
      <c r="H2" t="n">
        <v>1.5559</v>
      </c>
      <c r="I2" t="inlineStr">
        <is>
          <t>HexaCl</t>
        </is>
      </c>
      <c r="K2" t="n">
        <v>-162.15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-147.54</v>
      </c>
      <c r="B3" t="n">
        <v>-4.4228</v>
      </c>
      <c r="C3" t="inlineStr">
        <is>
          <t>1,4-DiBr</t>
        </is>
      </c>
      <c r="D3" t="n">
        <v>0.1167</v>
      </c>
      <c r="G3" t="n">
        <v>-177.44</v>
      </c>
      <c r="H3" t="n">
        <v>-1.6198</v>
      </c>
      <c r="I3" t="inlineStr">
        <is>
          <t>PentaCl</t>
        </is>
      </c>
      <c r="K3" t="n">
        <v>-168.45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-149.49</v>
      </c>
      <c r="B4" t="n">
        <v>-3.4143</v>
      </c>
      <c r="C4" t="inlineStr">
        <is>
          <t>1,3-DiBr</t>
        </is>
      </c>
      <c r="D4" t="n">
        <v>0.09420000000000001</v>
      </c>
      <c r="G4" t="n">
        <v>-166.28</v>
      </c>
      <c r="H4" t="n">
        <v>-1.22</v>
      </c>
      <c r="I4" t="inlineStr">
        <is>
          <t>1,2,4,5-TetraCl</t>
        </is>
      </c>
    </row>
    <row r="5">
      <c r="A5" t="n">
        <v>-159.44</v>
      </c>
      <c r="B5" t="n">
        <v>-0.5978</v>
      </c>
      <c r="C5" t="inlineStr">
        <is>
          <t>1,2,4-TriBr</t>
        </is>
      </c>
      <c r="D5" t="n">
        <v>0.1491</v>
      </c>
      <c r="G5" t="n">
        <v>-158.44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-154.81</v>
      </c>
      <c r="B6" t="n">
        <v>-0.1054</v>
      </c>
      <c r="C6" t="inlineStr">
        <is>
          <t>1,3,5-TriBr</t>
        </is>
      </c>
      <c r="D6" t="n">
        <v>0.1667</v>
      </c>
      <c r="G6" t="n">
        <v>-150.05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-163.23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-176.96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min_dG0_act_concerted_kcal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min_dG0_act_concerted_kcal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min_dG0_act_concerted_kcal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27.21</v>
      </c>
      <c r="B2" t="n">
        <v>-6.2146</v>
      </c>
      <c r="C2" t="inlineStr">
        <is>
          <t>MonoBr</t>
        </is>
      </c>
      <c r="D2" t="n">
        <v>0.105</v>
      </c>
      <c r="G2" t="n">
        <v>29.54</v>
      </c>
      <c r="H2" t="n">
        <v>1.5559</v>
      </c>
      <c r="I2" t="inlineStr">
        <is>
          <t>HexaCl</t>
        </is>
      </c>
      <c r="K2" t="n">
        <v>24.82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26.73</v>
      </c>
      <c r="B3" t="n">
        <v>-4.4228</v>
      </c>
      <c r="C3" t="inlineStr">
        <is>
          <t>1,4-DiBr</t>
        </is>
      </c>
      <c r="D3" t="n">
        <v>0.1167</v>
      </c>
      <c r="G3" t="n">
        <v>29.79</v>
      </c>
      <c r="H3" t="n">
        <v>-1.6198</v>
      </c>
      <c r="I3" t="inlineStr">
        <is>
          <t>PentaCl</t>
        </is>
      </c>
      <c r="K3" t="n">
        <v>24.54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26.53</v>
      </c>
      <c r="B4" t="n">
        <v>-3.4143</v>
      </c>
      <c r="C4" t="inlineStr">
        <is>
          <t>1,3-DiBr</t>
        </is>
      </c>
      <c r="D4" t="n">
        <v>0.09420000000000001</v>
      </c>
      <c r="G4" t="n">
        <v>30.47</v>
      </c>
      <c r="H4" t="n">
        <v>-1.22</v>
      </c>
      <c r="I4" t="inlineStr">
        <is>
          <t>1,2,4,5-TetraCl</t>
        </is>
      </c>
    </row>
    <row r="5">
      <c r="A5" t="n">
        <v>25.79</v>
      </c>
      <c r="B5" t="n">
        <v>-0.5978</v>
      </c>
      <c r="C5" t="inlineStr">
        <is>
          <t>1,2,4-TriBr</t>
        </is>
      </c>
      <c r="D5" t="n">
        <v>0.1491</v>
      </c>
      <c r="G5" t="n">
        <v>31.15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25.98</v>
      </c>
      <c r="B6" t="n">
        <v>-0.1054</v>
      </c>
      <c r="C6" t="inlineStr">
        <is>
          <t>1,3,5-TriBr</t>
        </is>
      </c>
      <c r="D6" t="n">
        <v>0.1667</v>
      </c>
      <c r="G6" t="n">
        <v>31.38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25.53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23.84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0.83,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VEA_eV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VEA_eV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VEA_eV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0.995</v>
      </c>
      <c r="B2" t="n">
        <v>-6.2146</v>
      </c>
      <c r="C2" t="inlineStr">
        <is>
          <t>MonoBr</t>
        </is>
      </c>
      <c r="D2" t="n">
        <v>0.105</v>
      </c>
      <c r="G2" t="n">
        <v>1.901</v>
      </c>
      <c r="H2" t="n">
        <v>1.5559</v>
      </c>
      <c r="I2" t="inlineStr">
        <is>
          <t>HexaCl</t>
        </is>
      </c>
      <c r="K2" t="n">
        <v>1.353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1.228</v>
      </c>
      <c r="B3" t="n">
        <v>-4.4228</v>
      </c>
      <c r="C3" t="inlineStr">
        <is>
          <t>1,4-DiBr</t>
        </is>
      </c>
      <c r="D3" t="n">
        <v>0.1167</v>
      </c>
      <c r="G3" t="n">
        <v>1.782</v>
      </c>
      <c r="H3" t="n">
        <v>-1.6198</v>
      </c>
      <c r="I3" t="inlineStr">
        <is>
          <t>PentaCl</t>
        </is>
      </c>
      <c r="K3" t="n">
        <v>1.48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1.243</v>
      </c>
      <c r="B4" t="n">
        <v>-3.4143</v>
      </c>
      <c r="C4" t="inlineStr">
        <is>
          <t>1,3-DiBr</t>
        </is>
      </c>
      <c r="D4" t="n">
        <v>0.09420000000000001</v>
      </c>
      <c r="G4" t="n">
        <v>1.664</v>
      </c>
      <c r="H4" t="n">
        <v>-1.22</v>
      </c>
      <c r="I4" t="inlineStr">
        <is>
          <t>1,2,4,5-TetraCl</t>
        </is>
      </c>
    </row>
    <row r="5">
      <c r="A5" t="n">
        <v>1.456</v>
      </c>
      <c r="B5" t="n">
        <v>-0.5978</v>
      </c>
      <c r="C5" t="inlineStr">
        <is>
          <t>1,2,4-TriBr</t>
        </is>
      </c>
      <c r="D5" t="n">
        <v>0.1491</v>
      </c>
      <c r="G5" t="n">
        <v>1.21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1.477</v>
      </c>
      <c r="B6" t="n">
        <v>-0.1054</v>
      </c>
      <c r="C6" t="inlineStr">
        <is>
          <t>1,3,5-TriBr</t>
        </is>
      </c>
      <c r="D6" t="n">
        <v>0.1667</v>
      </c>
      <c r="G6" t="n">
        <v>1.249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1.69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2.265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0.83,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min_dG_2e_HDH_kcal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min_dG_2e_HDH_kcal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min_dG_2e_HDH_kcal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-208.14</v>
      </c>
      <c r="B2" t="n">
        <v>-6.2146</v>
      </c>
      <c r="C2" t="inlineStr">
        <is>
          <t>MonoBr</t>
        </is>
      </c>
      <c r="D2" t="n">
        <v>0.105</v>
      </c>
      <c r="G2" t="n">
        <v>-220</v>
      </c>
      <c r="H2" t="n">
        <v>1.5559</v>
      </c>
      <c r="I2" t="inlineStr">
        <is>
          <t>HexaCl</t>
        </is>
      </c>
      <c r="K2" t="n">
        <v>-212.25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-210.15</v>
      </c>
      <c r="B3" t="n">
        <v>-4.4228</v>
      </c>
      <c r="C3" t="inlineStr">
        <is>
          <t>1,4-DiBr</t>
        </is>
      </c>
      <c r="D3" t="n">
        <v>0.1167</v>
      </c>
      <c r="G3" t="n">
        <v>-218.52</v>
      </c>
      <c r="H3" t="n">
        <v>-1.6198</v>
      </c>
      <c r="I3" t="inlineStr">
        <is>
          <t>PentaCl</t>
        </is>
      </c>
      <c r="K3" t="n">
        <v>-212.98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-210.21</v>
      </c>
      <c r="B4" t="n">
        <v>-3.4143</v>
      </c>
      <c r="C4" t="inlineStr">
        <is>
          <t>1,3-DiBr</t>
        </is>
      </c>
      <c r="D4" t="n">
        <v>0.09420000000000001</v>
      </c>
      <c r="G4" t="n">
        <v>-217.06</v>
      </c>
      <c r="H4" t="n">
        <v>-1.22</v>
      </c>
      <c r="I4" t="inlineStr">
        <is>
          <t>1,2,4,5-TetraCl</t>
        </is>
      </c>
    </row>
    <row r="5">
      <c r="A5" t="n">
        <v>-212.51</v>
      </c>
      <c r="B5" t="n">
        <v>-0.5978</v>
      </c>
      <c r="C5" t="inlineStr">
        <is>
          <t>1,2,4-TriBr</t>
        </is>
      </c>
      <c r="D5" t="n">
        <v>0.1491</v>
      </c>
      <c r="G5" t="n">
        <v>-214.38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-211.53</v>
      </c>
      <c r="B6" t="n">
        <v>-0.1054</v>
      </c>
      <c r="C6" t="inlineStr">
        <is>
          <t>1,3,5-TriBr</t>
        </is>
      </c>
      <c r="D6" t="n">
        <v>0.1667</v>
      </c>
      <c r="G6" t="n">
        <v>-212.81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-214.59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-218.95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0.82,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eff_dG_act_concerted_kcal @ -2.00 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eff_dG_act_concerted_kcal @ -2.00 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eff_dG_act_concerted_kcal @ -2.00 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24.32</v>
      </c>
      <c r="B2" t="n">
        <v>-6.2146</v>
      </c>
      <c r="C2" t="inlineStr">
        <is>
          <t>MonoBr</t>
        </is>
      </c>
      <c r="D2" t="n">
        <v>0.105</v>
      </c>
      <c r="G2" t="n">
        <v>22.32841</v>
      </c>
      <c r="H2" t="n">
        <v>1.5559</v>
      </c>
      <c r="I2" t="inlineStr">
        <is>
          <t>HexaCl</t>
        </is>
      </c>
      <c r="K2" t="n">
        <v>20.29653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23.12932</v>
      </c>
      <c r="B3" t="n">
        <v>-4.4228</v>
      </c>
      <c r="C3" t="inlineStr">
        <is>
          <t>1,4-DiBr</t>
        </is>
      </c>
      <c r="D3" t="n">
        <v>0.1167</v>
      </c>
      <c r="G3" t="n">
        <v>23.30434</v>
      </c>
      <c r="H3" t="n">
        <v>-1.6198</v>
      </c>
      <c r="I3" t="inlineStr">
        <is>
          <t>PentaCl</t>
        </is>
      </c>
      <c r="K3" t="n">
        <v>20.17854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22.51932</v>
      </c>
      <c r="B4" t="n">
        <v>-3.4143</v>
      </c>
      <c r="C4" t="inlineStr">
        <is>
          <t>1,3-DiBr</t>
        </is>
      </c>
      <c r="D4" t="n">
        <v>0.09420000000000001</v>
      </c>
      <c r="G4" t="n">
        <v>24.30864</v>
      </c>
      <c r="H4" t="n">
        <v>-1.22</v>
      </c>
      <c r="I4" t="inlineStr">
        <is>
          <t>1,2,4,5-TetraCl</t>
        </is>
      </c>
    </row>
    <row r="5">
      <c r="A5" t="n">
        <v>21.28974</v>
      </c>
      <c r="B5" t="n">
        <v>-0.5978</v>
      </c>
      <c r="C5" t="inlineStr">
        <is>
          <t>1,2,4-TriBr</t>
        </is>
      </c>
      <c r="D5" t="n">
        <v>0.1491</v>
      </c>
      <c r="G5" t="n">
        <v>25.83932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21.55909</v>
      </c>
      <c r="B6" t="n">
        <v>-0.1054</v>
      </c>
      <c r="C6" t="inlineStr">
        <is>
          <t>1,3,5-TriBr</t>
        </is>
      </c>
      <c r="D6" t="n">
        <v>0.1667</v>
      </c>
      <c r="G6" t="n">
        <v>26.53932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20.19864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16.13841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eff_dG_act_combined_kcal @ -2.00 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eff_dG_act_combined_kcal @ -2.00 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eff_dG_act_combined_kcal @ -2.00 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24.32</v>
      </c>
      <c r="B2" t="n">
        <v>-6.2146</v>
      </c>
      <c r="C2" t="inlineStr">
        <is>
          <t>MonoBr</t>
        </is>
      </c>
      <c r="D2" t="n">
        <v>0.105</v>
      </c>
      <c r="G2" t="n">
        <v>22.32841</v>
      </c>
      <c r="H2" t="n">
        <v>1.5559</v>
      </c>
      <c r="I2" t="inlineStr">
        <is>
          <t>HexaCl</t>
        </is>
      </c>
      <c r="K2" t="n">
        <v>20.29653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23.12932</v>
      </c>
      <c r="B3" t="n">
        <v>-4.4228</v>
      </c>
      <c r="C3" t="inlineStr">
        <is>
          <t>1,4-DiBr</t>
        </is>
      </c>
      <c r="D3" t="n">
        <v>0.1167</v>
      </c>
      <c r="G3" t="n">
        <v>23.30434</v>
      </c>
      <c r="H3" t="n">
        <v>-1.6198</v>
      </c>
      <c r="I3" t="inlineStr">
        <is>
          <t>PentaCl</t>
        </is>
      </c>
      <c r="K3" t="n">
        <v>20.17854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22.51932</v>
      </c>
      <c r="B4" t="n">
        <v>-3.4143</v>
      </c>
      <c r="C4" t="inlineStr">
        <is>
          <t>1,3-DiBr</t>
        </is>
      </c>
      <c r="D4" t="n">
        <v>0.09420000000000001</v>
      </c>
      <c r="G4" t="n">
        <v>24.30864</v>
      </c>
      <c r="H4" t="n">
        <v>-1.22</v>
      </c>
      <c r="I4" t="inlineStr">
        <is>
          <t>1,2,4,5-TetraCl</t>
        </is>
      </c>
    </row>
    <row r="5">
      <c r="A5" t="n">
        <v>21.28974</v>
      </c>
      <c r="B5" t="n">
        <v>-0.5978</v>
      </c>
      <c r="C5" t="inlineStr">
        <is>
          <t>1,2,4-TriBr</t>
        </is>
      </c>
      <c r="D5" t="n">
        <v>0.1491</v>
      </c>
      <c r="G5" t="n">
        <v>25.83932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21.55909</v>
      </c>
      <c r="B6" t="n">
        <v>-0.1054</v>
      </c>
      <c r="C6" t="inlineStr">
        <is>
          <t>1,3,5-TriBr</t>
        </is>
      </c>
      <c r="D6" t="n">
        <v>0.1667</v>
      </c>
      <c r="G6" t="n">
        <v>26.53932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20.19864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16.13841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omega_dSCF_eV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omega_dSCF_eV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omega_dSCF_eV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1.339</v>
      </c>
      <c r="B2" t="n">
        <v>-6.2146</v>
      </c>
      <c r="C2" t="inlineStr">
        <is>
          <t>MonoBr</t>
        </is>
      </c>
      <c r="D2" t="n">
        <v>0.105</v>
      </c>
      <c r="G2" t="n">
        <v>1.982</v>
      </c>
      <c r="H2" t="n">
        <v>1.5559</v>
      </c>
      <c r="I2" t="inlineStr">
        <is>
          <t>HexaCl</t>
        </is>
      </c>
      <c r="K2" t="n">
        <v>1.537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1.48</v>
      </c>
      <c r="B3" t="n">
        <v>-4.4228</v>
      </c>
      <c r="C3" t="inlineStr">
        <is>
          <t>1,4-DiBr</t>
        </is>
      </c>
      <c r="D3" t="n">
        <v>0.1167</v>
      </c>
      <c r="G3" t="n">
        <v>1.881</v>
      </c>
      <c r="H3" t="n">
        <v>-1.6198</v>
      </c>
      <c r="I3" t="inlineStr">
        <is>
          <t>PentaCl</t>
        </is>
      </c>
      <c r="K3" t="n">
        <v>1.636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1.503</v>
      </c>
      <c r="B4" t="n">
        <v>-3.4143</v>
      </c>
      <c r="C4" t="inlineStr">
        <is>
          <t>1,3-DiBr</t>
        </is>
      </c>
      <c r="D4" t="n">
        <v>0.09420000000000001</v>
      </c>
      <c r="G4" t="n">
        <v>1.783</v>
      </c>
      <c r="H4" t="n">
        <v>-1.22</v>
      </c>
      <c r="I4" t="inlineStr">
        <is>
          <t>1,2,4,5-TetraCl</t>
        </is>
      </c>
    </row>
    <row r="5">
      <c r="A5" t="n">
        <v>1.641</v>
      </c>
      <c r="B5" t="n">
        <v>-0.5978</v>
      </c>
      <c r="C5" t="inlineStr">
        <is>
          <t>1,2,4-TriBr</t>
        </is>
      </c>
      <c r="D5" t="n">
        <v>0.1491</v>
      </c>
      <c r="G5" t="n">
        <v>1.474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1.678</v>
      </c>
      <c r="B6" t="n">
        <v>-0.1054</v>
      </c>
      <c r="C6" t="inlineStr">
        <is>
          <t>1,3,5-TriBr</t>
        </is>
      </c>
      <c r="D6" t="n">
        <v>0.1667</v>
      </c>
      <c r="G6" t="n">
        <v>1.486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1.811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2.284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LUMO_eV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LUMO_eV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LUMO_eV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0.108</v>
      </c>
      <c r="B2" t="n">
        <v>-6.2146</v>
      </c>
      <c r="C2" t="inlineStr">
        <is>
          <t>MonoBr</t>
        </is>
      </c>
      <c r="D2" t="n">
        <v>0.105</v>
      </c>
      <c r="G2" t="n">
        <v>-0.78</v>
      </c>
      <c r="H2" t="n">
        <v>1.5559</v>
      </c>
      <c r="I2" t="inlineStr">
        <is>
          <t>HexaCl</t>
        </is>
      </c>
      <c r="K2" t="n">
        <v>-0.454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-0.129</v>
      </c>
      <c r="B3" t="n">
        <v>-4.4228</v>
      </c>
      <c r="C3" t="inlineStr">
        <is>
          <t>1,4-DiBr</t>
        </is>
      </c>
      <c r="D3" t="n">
        <v>0.1167</v>
      </c>
      <c r="G3" t="n">
        <v>-0.622</v>
      </c>
      <c r="H3" t="n">
        <v>-1.6198</v>
      </c>
      <c r="I3" t="inlineStr">
        <is>
          <t>PentaCl</t>
        </is>
      </c>
      <c r="K3" t="n">
        <v>-0.613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-0.101</v>
      </c>
      <c r="B4" t="n">
        <v>-3.4143</v>
      </c>
      <c r="C4" t="inlineStr">
        <is>
          <t>1,3-DiBr</t>
        </is>
      </c>
      <c r="D4" t="n">
        <v>0.09420000000000001</v>
      </c>
      <c r="G4" t="n">
        <v>-0.47</v>
      </c>
      <c r="H4" t="n">
        <v>-1.22</v>
      </c>
      <c r="I4" t="inlineStr">
        <is>
          <t>1,2,4,5-TetraCl</t>
        </is>
      </c>
    </row>
    <row r="5">
      <c r="A5" t="n">
        <v>-0.355</v>
      </c>
      <c r="B5" t="n">
        <v>-0.5978</v>
      </c>
      <c r="C5" t="inlineStr">
        <is>
          <t>1,2,4-TriBr</t>
        </is>
      </c>
      <c r="D5" t="n">
        <v>0.1491</v>
      </c>
      <c r="G5" t="n">
        <v>0.019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-0.424</v>
      </c>
      <c r="B6" t="n">
        <v>-0.1054</v>
      </c>
      <c r="C6" t="inlineStr">
        <is>
          <t>1,3,5-TriBr</t>
        </is>
      </c>
      <c r="D6" t="n">
        <v>0.1667</v>
      </c>
      <c r="G6" t="n">
        <v>-0.014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-0.646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-1.572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min_dG_1e_kcal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min_dG_1e_kcal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min_dG_1e_kcal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-58.53</v>
      </c>
      <c r="B2" t="n">
        <v>-6.2146</v>
      </c>
      <c r="C2" t="inlineStr">
        <is>
          <t>MonoBr</t>
        </is>
      </c>
      <c r="D2" t="n">
        <v>0.105</v>
      </c>
      <c r="G2" t="n">
        <v>-65.64</v>
      </c>
      <c r="H2" t="n">
        <v>1.5559</v>
      </c>
      <c r="I2" t="inlineStr">
        <is>
          <t>HexaCl</t>
        </is>
      </c>
      <c r="K2" t="n">
        <v>-60.93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-59.17</v>
      </c>
      <c r="B3" t="n">
        <v>-4.4228</v>
      </c>
      <c r="C3" t="inlineStr">
        <is>
          <t>1,4-DiBr</t>
        </is>
      </c>
      <c r="D3" t="n">
        <v>0.1167</v>
      </c>
      <c r="G3" t="n">
        <v>-65.01000000000001</v>
      </c>
      <c r="H3" t="n">
        <v>-1.6198</v>
      </c>
      <c r="I3" t="inlineStr">
        <is>
          <t>PentaCl</t>
        </is>
      </c>
      <c r="K3" t="n">
        <v>-60.71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-60.07</v>
      </c>
      <c r="B4" t="n">
        <v>-3.4143</v>
      </c>
      <c r="C4" t="inlineStr">
        <is>
          <t>1,3-DiBr</t>
        </is>
      </c>
      <c r="D4" t="n">
        <v>0.09420000000000001</v>
      </c>
      <c r="G4" t="n">
        <v>-63.8</v>
      </c>
      <c r="H4" t="n">
        <v>-1.22</v>
      </c>
      <c r="I4" t="inlineStr">
        <is>
          <t>1,2,4,5-TetraCl</t>
        </is>
      </c>
    </row>
    <row r="5">
      <c r="A5" t="n">
        <v>-61.34</v>
      </c>
      <c r="B5" t="n">
        <v>-0.5978</v>
      </c>
      <c r="C5" t="inlineStr">
        <is>
          <t>1,2,4-TriBr</t>
        </is>
      </c>
      <c r="D5" t="n">
        <v>0.1491</v>
      </c>
      <c r="G5" t="n">
        <v>-62.83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-60.43</v>
      </c>
      <c r="B6" t="n">
        <v>-0.1054</v>
      </c>
      <c r="C6" t="inlineStr">
        <is>
          <t>1,3,5-TriBr</t>
        </is>
      </c>
      <c r="D6" t="n">
        <v>0.1667</v>
      </c>
      <c r="G6" t="n">
        <v>-61.79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-62.05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-66.95999999999999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0.71,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min_BDE_kcal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min_BDE_kcal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min_BDE_kcal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77.27</v>
      </c>
      <c r="B2" t="n">
        <v>-6.2146</v>
      </c>
      <c r="C2" t="inlineStr">
        <is>
          <t>MonoBr</t>
        </is>
      </c>
      <c r="D2" t="n">
        <v>0.105</v>
      </c>
      <c r="G2" t="n">
        <v>91.34999999999999</v>
      </c>
      <c r="H2" t="n">
        <v>1.5559</v>
      </c>
      <c r="I2" t="inlineStr">
        <is>
          <t>HexaCl</t>
        </is>
      </c>
      <c r="K2" t="n">
        <v>75.47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77.02</v>
      </c>
      <c r="B3" t="n">
        <v>-4.4228</v>
      </c>
      <c r="C3" t="inlineStr">
        <is>
          <t>1,4-DiBr</t>
        </is>
      </c>
      <c r="D3" t="n">
        <v>0.1167</v>
      </c>
      <c r="G3" t="n">
        <v>91.56999999999999</v>
      </c>
      <c r="H3" t="n">
        <v>-1.6198</v>
      </c>
      <c r="I3" t="inlineStr">
        <is>
          <t>PentaCl</t>
        </is>
      </c>
      <c r="K3" t="n">
        <v>74.88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76.25</v>
      </c>
      <c r="B4" t="n">
        <v>-3.4143</v>
      </c>
      <c r="C4" t="inlineStr">
        <is>
          <t>1,3-DiBr</t>
        </is>
      </c>
      <c r="D4" t="n">
        <v>0.09420000000000001</v>
      </c>
      <c r="G4" t="n">
        <v>93.41</v>
      </c>
      <c r="H4" t="n">
        <v>-1.22</v>
      </c>
      <c r="I4" t="inlineStr">
        <is>
          <t>1,2,4,5-TetraCl</t>
        </is>
      </c>
    </row>
    <row r="5">
      <c r="A5" t="n">
        <v>74.67</v>
      </c>
      <c r="B5" t="n">
        <v>-0.5978</v>
      </c>
      <c r="C5" t="inlineStr">
        <is>
          <t>1,2,4-TriBr</t>
        </is>
      </c>
      <c r="D5" t="n">
        <v>0.1491</v>
      </c>
      <c r="G5" t="n">
        <v>93.98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75.39</v>
      </c>
      <c r="B6" t="n">
        <v>-0.1054</v>
      </c>
      <c r="C6" t="inlineStr">
        <is>
          <t>1,3,5-TriBr</t>
        </is>
      </c>
      <c r="D6" t="n">
        <v>0.1667</v>
      </c>
      <c r="G6" t="n">
        <v>94.90000000000001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74.73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69.8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max_fplus_CX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max_fplus_CX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max_fplus_CX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0.1078</v>
      </c>
      <c r="B2" t="n">
        <v>-6.2146</v>
      </c>
      <c r="C2" t="inlineStr">
        <is>
          <t>MonoBr</t>
        </is>
      </c>
      <c r="D2" t="n">
        <v>0.105</v>
      </c>
      <c r="G2" t="n">
        <v>0.2347</v>
      </c>
      <c r="H2" t="n">
        <v>1.5559</v>
      </c>
      <c r="I2" t="inlineStr">
        <is>
          <t>HexaCl</t>
        </is>
      </c>
      <c r="K2" t="n">
        <v>0.1289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0.1148</v>
      </c>
      <c r="B3" t="n">
        <v>-4.4228</v>
      </c>
      <c r="C3" t="inlineStr">
        <is>
          <t>1,4-DiBr</t>
        </is>
      </c>
      <c r="D3" t="n">
        <v>0.1167</v>
      </c>
      <c r="G3" t="n">
        <v>0.2327</v>
      </c>
      <c r="H3" t="n">
        <v>-1.6198</v>
      </c>
      <c r="I3" t="inlineStr">
        <is>
          <t>PentaCl</t>
        </is>
      </c>
      <c r="K3" t="n">
        <v>0.1132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0.1492</v>
      </c>
      <c r="B4" t="n">
        <v>-3.4143</v>
      </c>
      <c r="C4" t="inlineStr">
        <is>
          <t>1,3-DiBr</t>
        </is>
      </c>
      <c r="D4" t="n">
        <v>0.09420000000000001</v>
      </c>
      <c r="G4" t="n">
        <v>0.1362</v>
      </c>
      <c r="H4" t="n">
        <v>-1.22</v>
      </c>
      <c r="I4" t="inlineStr">
        <is>
          <t>1,2,4,5-TetraCl</t>
        </is>
      </c>
    </row>
    <row r="5">
      <c r="A5" t="n">
        <v>0.1495</v>
      </c>
      <c r="B5" t="n">
        <v>-0.5978</v>
      </c>
      <c r="C5" t="inlineStr">
        <is>
          <t>1,2,4-TriBr</t>
        </is>
      </c>
      <c r="D5" t="n">
        <v>0.1491</v>
      </c>
      <c r="G5" t="n">
        <v>0.1304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0.122</v>
      </c>
      <c r="B6" t="n">
        <v>-0.1054</v>
      </c>
      <c r="C6" t="inlineStr">
        <is>
          <t>1,3,5-TriBr</t>
        </is>
      </c>
      <c r="D6" t="n">
        <v>0.1667</v>
      </c>
      <c r="G6" t="n">
        <v>0.1123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0.1409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0.1666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0.53,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dG_ET_any_kcal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dG_ET_any_kcal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dG_ET_any_kcal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-57.07</v>
      </c>
      <c r="B2" t="n">
        <v>-6.2146</v>
      </c>
      <c r="C2" t="inlineStr">
        <is>
          <t>MonoBr</t>
        </is>
      </c>
      <c r="D2" t="n">
        <v>0.105</v>
      </c>
      <c r="G2" t="n">
        <v>-63.14</v>
      </c>
      <c r="H2" t="n">
        <v>1.5559</v>
      </c>
      <c r="I2" t="inlineStr">
        <is>
          <t>HexaCl</t>
        </is>
      </c>
      <c r="K2" t="n">
        <v>-58.98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-38.03</v>
      </c>
      <c r="B3" t="n">
        <v>-4.4228</v>
      </c>
      <c r="C3" t="inlineStr">
        <is>
          <t>1,4-DiBr</t>
        </is>
      </c>
      <c r="D3" t="n">
        <v>0.1167</v>
      </c>
      <c r="G3" t="n">
        <v>-65.34</v>
      </c>
      <c r="H3" t="n">
        <v>-1.6198</v>
      </c>
      <c r="I3" t="inlineStr">
        <is>
          <t>PentaCl</t>
        </is>
      </c>
      <c r="K3" t="n">
        <v>-58.32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-57.88</v>
      </c>
      <c r="B4" t="n">
        <v>-3.4143</v>
      </c>
      <c r="C4" t="inlineStr">
        <is>
          <t>1,3-DiBr</t>
        </is>
      </c>
      <c r="D4" t="n">
        <v>0.09420000000000001</v>
      </c>
      <c r="G4" t="n">
        <v>-48.54</v>
      </c>
      <c r="H4" t="n">
        <v>-1.22</v>
      </c>
      <c r="I4" t="inlineStr">
        <is>
          <t>1,2,4,5-TetraCl</t>
        </is>
      </c>
    </row>
    <row r="5">
      <c r="A5" t="n">
        <v>-60.65</v>
      </c>
      <c r="B5" t="n">
        <v>-0.5978</v>
      </c>
      <c r="C5" t="inlineStr">
        <is>
          <t>1,2,4-TriBr</t>
        </is>
      </c>
      <c r="D5" t="n">
        <v>0.1491</v>
      </c>
      <c r="G5" t="n">
        <v>-37.86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-59.76</v>
      </c>
      <c r="B6" t="n">
        <v>-0.1054</v>
      </c>
      <c r="C6" t="inlineStr">
        <is>
          <t>1,3,5-TriBr</t>
        </is>
      </c>
      <c r="D6" t="n">
        <v>0.1667</v>
      </c>
      <c r="G6" t="n">
        <v>-40.22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-63.06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-70.98999999999999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0.49,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min_dG_frag_any_kcal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min_dG_frag_any_kcal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min_dG_frag_any_kcal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-1.45</v>
      </c>
      <c r="B2" t="n">
        <v>-6.2146</v>
      </c>
      <c r="C2" t="inlineStr">
        <is>
          <t>MonoBr</t>
        </is>
      </c>
      <c r="D2" t="n">
        <v>0.105</v>
      </c>
      <c r="G2" t="n">
        <v>-2.5</v>
      </c>
      <c r="H2" t="n">
        <v>1.5559</v>
      </c>
      <c r="I2" t="inlineStr">
        <is>
          <t>HexaCl</t>
        </is>
      </c>
      <c r="K2" t="n">
        <v>-1.95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-21.14</v>
      </c>
      <c r="B3" t="n">
        <v>-4.4228</v>
      </c>
      <c r="C3" t="inlineStr">
        <is>
          <t>1,4-DiBr</t>
        </is>
      </c>
      <c r="D3" t="n">
        <v>0.1167</v>
      </c>
      <c r="G3" t="n">
        <v>0.33</v>
      </c>
      <c r="H3" t="n">
        <v>-1.6198</v>
      </c>
      <c r="I3" t="inlineStr">
        <is>
          <t>PentaCl</t>
        </is>
      </c>
      <c r="K3" t="n">
        <v>-2.39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-2.19</v>
      </c>
      <c r="B4" t="n">
        <v>-3.4143</v>
      </c>
      <c r="C4" t="inlineStr">
        <is>
          <t>1,3-DiBr</t>
        </is>
      </c>
      <c r="D4" t="n">
        <v>0.09420000000000001</v>
      </c>
      <c r="G4" t="n">
        <v>-15.26</v>
      </c>
      <c r="H4" t="n">
        <v>-1.22</v>
      </c>
      <c r="I4" t="inlineStr">
        <is>
          <t>1,2,4,5-TetraCl</t>
        </is>
      </c>
    </row>
    <row r="5">
      <c r="A5" t="n">
        <v>-0.6899999999999999</v>
      </c>
      <c r="B5" t="n">
        <v>-0.5978</v>
      </c>
      <c r="C5" t="inlineStr">
        <is>
          <t>1,2,4-TriBr</t>
        </is>
      </c>
      <c r="D5" t="n">
        <v>0.1491</v>
      </c>
      <c r="G5" t="n">
        <v>-24.97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-0.67</v>
      </c>
      <c r="B6" t="n">
        <v>-0.1054</v>
      </c>
      <c r="C6" t="inlineStr">
        <is>
          <t>1,3,5-TriBr</t>
        </is>
      </c>
      <c r="D6" t="n">
        <v>0.1667</v>
      </c>
      <c r="G6" t="n">
        <v>-21.57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1.02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4.03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0.32,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max_dr_CX_RA_A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max_dr_CX_RA_A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max_dr_CX_RA_A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2.9934</v>
      </c>
      <c r="B2" t="n">
        <v>-6.2146</v>
      </c>
      <c r="C2" t="inlineStr">
        <is>
          <t>MonoBr</t>
        </is>
      </c>
      <c r="D2" t="n">
        <v>0.105</v>
      </c>
      <c r="G2" t="n">
        <v>0.0492</v>
      </c>
      <c r="H2" t="n">
        <v>1.5559</v>
      </c>
      <c r="I2" t="inlineStr">
        <is>
          <t>HexaCl</t>
        </is>
      </c>
      <c r="K2" t="n">
        <v>1.1574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0.0447</v>
      </c>
      <c r="B3" t="n">
        <v>-4.4228</v>
      </c>
      <c r="C3" t="inlineStr">
        <is>
          <t>1,4-DiBr</t>
        </is>
      </c>
      <c r="D3" t="n">
        <v>0.1167</v>
      </c>
      <c r="G3" t="n">
        <v>0.7349</v>
      </c>
      <c r="H3" t="n">
        <v>-1.6198</v>
      </c>
      <c r="I3" t="inlineStr">
        <is>
          <t>PentaCl</t>
        </is>
      </c>
      <c r="K3" t="n">
        <v>0.7541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0.0053</v>
      </c>
      <c r="B4" t="n">
        <v>-3.4143</v>
      </c>
      <c r="C4" t="inlineStr">
        <is>
          <t>1,3-DiBr</t>
        </is>
      </c>
      <c r="D4" t="n">
        <v>0.09420000000000001</v>
      </c>
      <c r="G4" t="n">
        <v>0.0312</v>
      </c>
      <c r="H4" t="n">
        <v>-1.22</v>
      </c>
      <c r="I4" t="inlineStr">
        <is>
          <t>1,2,4,5-TetraCl</t>
        </is>
      </c>
    </row>
    <row r="5">
      <c r="A5" t="n">
        <v>0.7661</v>
      </c>
      <c r="B5" t="n">
        <v>-0.5978</v>
      </c>
      <c r="C5" t="inlineStr">
        <is>
          <t>1,2,4-TriBr</t>
        </is>
      </c>
      <c r="D5" t="n">
        <v>0.1491</v>
      </c>
      <c r="G5" t="n">
        <v>0.0196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1.0271</v>
      </c>
      <c r="B6" t="n">
        <v>-0.1054</v>
      </c>
      <c r="C6" t="inlineStr">
        <is>
          <t>1,3,5-TriBr</t>
        </is>
      </c>
      <c r="D6" t="n">
        <v>0.1667</v>
      </c>
      <c r="G6" t="n">
        <v>0.0252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0.008800000000000001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0.0138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0.31,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min_dG_RA_2e_any_kcal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min_dG_RA_2e_any_kcal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min_dG_RA_2e_any_kcal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-86.37</v>
      </c>
      <c r="B2" t="n">
        <v>-6.2146</v>
      </c>
      <c r="C2" t="inlineStr">
        <is>
          <t>MonoBr</t>
        </is>
      </c>
      <c r="D2" t="n">
        <v>0.105</v>
      </c>
      <c r="G2" t="n">
        <v>-117.03</v>
      </c>
      <c r="H2" t="n">
        <v>1.5559</v>
      </c>
      <c r="I2" t="inlineStr">
        <is>
          <t>HexaCl</t>
        </is>
      </c>
      <c r="K2" t="n">
        <v>-103.17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-109.51</v>
      </c>
      <c r="B3" t="n">
        <v>-4.4228</v>
      </c>
      <c r="C3" t="inlineStr">
        <is>
          <t>1,4-DiBr</t>
        </is>
      </c>
      <c r="D3" t="n">
        <v>0.1167</v>
      </c>
      <c r="G3" t="n">
        <v>-112.1</v>
      </c>
      <c r="H3" t="n">
        <v>-1.6198</v>
      </c>
      <c r="I3" t="inlineStr">
        <is>
          <t>PentaCl</t>
        </is>
      </c>
      <c r="K3" t="n">
        <v>-110.13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-91.61</v>
      </c>
      <c r="B4" t="n">
        <v>-3.4143</v>
      </c>
      <c r="C4" t="inlineStr">
        <is>
          <t>1,3-DiBr</t>
        </is>
      </c>
      <c r="D4" t="n">
        <v>0.09420000000000001</v>
      </c>
      <c r="G4" t="n">
        <v>-117.74</v>
      </c>
      <c r="H4" t="n">
        <v>-1.22</v>
      </c>
      <c r="I4" t="inlineStr">
        <is>
          <t>1,2,4,5-TetraCl</t>
        </is>
      </c>
    </row>
    <row r="5">
      <c r="A5" t="n">
        <v>-98.79000000000001</v>
      </c>
      <c r="B5" t="n">
        <v>-0.5978</v>
      </c>
      <c r="C5" t="inlineStr">
        <is>
          <t>1,2,4-TriBr</t>
        </is>
      </c>
      <c r="D5" t="n">
        <v>0.1491</v>
      </c>
      <c r="G5" t="n">
        <v>-120.58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-95.04000000000001</v>
      </c>
      <c r="B6" t="n">
        <v>-0.1054</v>
      </c>
      <c r="C6" t="inlineStr">
        <is>
          <t>1,3,5-TriBr</t>
        </is>
      </c>
      <c r="D6" t="n">
        <v>0.1667</v>
      </c>
      <c r="G6" t="n">
        <v>-109.84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-100.17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-105.97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0.20,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LUMO_RA_eV</t>
        </is>
      </c>
      <c r="B1" s="2" t="inlineStr">
        <is>
          <t>published bromobenzene data</t>
        </is>
      </c>
      <c r="C1" s="2" t="inlineStr">
        <is>
          <t>label</t>
        </is>
      </c>
      <c r="D1" s="2" t="inlineStr">
        <is>
          <t>y error</t>
        </is>
      </c>
      <c r="G1" s="2" t="inlineStr">
        <is>
          <t>LUMO_RA_eV</t>
        </is>
      </c>
      <c r="H1" s="2" t="inlineStr">
        <is>
          <t>new chlorobenzene data</t>
        </is>
      </c>
      <c r="I1" s="2" t="inlineStr">
        <is>
          <t>label</t>
        </is>
      </c>
      <c r="K1" s="2" t="inlineStr">
        <is>
          <t>LUMO_RA_eV</t>
        </is>
      </c>
      <c r="L1" s="2" t="inlineStr">
        <is>
          <t>published PBDE data</t>
        </is>
      </c>
      <c r="M1" s="2" t="inlineStr">
        <is>
          <t>label</t>
        </is>
      </c>
      <c r="N1" s="2" t="inlineStr">
        <is>
          <t>y error</t>
        </is>
      </c>
      <c r="P1" s="2" t="inlineStr">
        <is>
          <t>fit x</t>
        </is>
      </c>
      <c r="Q1" s="2" t="inlineStr">
        <is>
          <t>fit: published bromobenzene data</t>
        </is>
      </c>
    </row>
    <row r="2">
      <c r="A2" t="n">
        <v>-1.3622</v>
      </c>
      <c r="B2" t="n">
        <v>-6.2146</v>
      </c>
      <c r="C2" t="inlineStr">
        <is>
          <t>MonoBr</t>
        </is>
      </c>
      <c r="D2" t="n">
        <v>0.105</v>
      </c>
      <c r="G2" t="n">
        <v>-1.0397</v>
      </c>
      <c r="H2" t="n">
        <v>1.5559</v>
      </c>
      <c r="I2" t="inlineStr">
        <is>
          <t>HexaCl</t>
        </is>
      </c>
      <c r="K2" t="n">
        <v>-0.8188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0.09470000000000001</v>
      </c>
      <c r="B3" t="n">
        <v>-4.4228</v>
      </c>
      <c r="C3" t="inlineStr">
        <is>
          <t>1,4-DiBr</t>
        </is>
      </c>
      <c r="D3" t="n">
        <v>0.1167</v>
      </c>
      <c r="G3" t="n">
        <v>-1.5758</v>
      </c>
      <c r="H3" t="n">
        <v>-1.6198</v>
      </c>
      <c r="I3" t="inlineStr">
        <is>
          <t>PentaCl</t>
        </is>
      </c>
      <c r="K3" t="n">
        <v>-1.0289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-0.9762999999999999</v>
      </c>
      <c r="B4" t="n">
        <v>-3.4143</v>
      </c>
      <c r="C4" t="inlineStr">
        <is>
          <t>1,3-DiBr</t>
        </is>
      </c>
      <c r="D4" t="n">
        <v>0.09420000000000001</v>
      </c>
      <c r="G4" t="n">
        <v>-0.0639</v>
      </c>
      <c r="H4" t="n">
        <v>-1.22</v>
      </c>
      <c r="I4" t="inlineStr">
        <is>
          <t>1,2,4,5-TetraCl</t>
        </is>
      </c>
    </row>
    <row r="5">
      <c r="A5" t="n">
        <v>-0.8757</v>
      </c>
      <c r="B5" t="n">
        <v>-0.5978</v>
      </c>
      <c r="C5" t="inlineStr">
        <is>
          <t>1,2,4-TriBr</t>
        </is>
      </c>
      <c r="D5" t="n">
        <v>0.1491</v>
      </c>
      <c r="G5" t="n">
        <v>0.1793</v>
      </c>
      <c r="H5" t="n">
        <v>-3.15</v>
      </c>
      <c r="I5" t="inlineStr">
        <is>
          <t>1,2-DiCl</t>
        </is>
      </c>
      <c r="P5" s="2" t="inlineStr">
        <is>
          <t>slope</t>
        </is>
      </c>
      <c r="Q5">
        <f>SLOPE($B$2:$B$8,$A$2:$A$8)</f>
        <v/>
      </c>
    </row>
    <row r="6">
      <c r="A6" t="n">
        <v>-0.7437</v>
      </c>
      <c r="B6" t="n">
        <v>-0.1054</v>
      </c>
      <c r="C6" t="inlineStr">
        <is>
          <t>1,3,5-TriBr</t>
        </is>
      </c>
      <c r="D6" t="n">
        <v>0.1667</v>
      </c>
      <c r="G6" t="n">
        <v>0.1467</v>
      </c>
      <c r="H6" t="n">
        <v>-7.0073</v>
      </c>
      <c r="I6" t="inlineStr">
        <is>
          <t>1,4-DiCl</t>
        </is>
      </c>
      <c r="P6" s="2" t="inlineStr">
        <is>
          <t>intercept</t>
        </is>
      </c>
      <c r="Q6">
        <f>INTERCEPT($B$2:$B$8,$A$2:$A$8)</f>
        <v/>
      </c>
    </row>
    <row r="7">
      <c r="A7" t="n">
        <v>-0.975</v>
      </c>
      <c r="B7" t="n">
        <v>0.9163</v>
      </c>
      <c r="C7" t="inlineStr">
        <is>
          <t>1,2,4,5-TetrBr</t>
        </is>
      </c>
      <c r="D7" t="n">
        <v>0.112</v>
      </c>
      <c r="P7" s="2" t="inlineStr">
        <is>
          <t>R2</t>
        </is>
      </c>
      <c r="Q7">
        <f>RSQ($B$2:$B$8,$A$2:$A$8)</f>
        <v/>
      </c>
    </row>
    <row r="8">
      <c r="A8" t="n">
        <v>-1.6485</v>
      </c>
      <c r="B8" t="n">
        <v>2.3026</v>
      </c>
      <c r="C8" t="inlineStr">
        <is>
          <t>HexaBr</t>
        </is>
      </c>
      <c r="D8" t="n">
        <v>0.13</v>
      </c>
    </row>
    <row r="17">
      <c r="S17" s="10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0.11,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2026-09-30T13:59:22Z</dcterms:created>
  <dcterms:modified xmlns:dcterms="http://purl.org/dc/terms/" xmlns:xsi="http://www.w3.org/2001/XMLSchema-instance" xsi:type="dcterms:W3CDTF">2026-09-30T13:59:58Z</dcterms:modified>
</cp:coreProperties>
</file>