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worksheets/sheet28.xml" ContentType="application/vnd.openxmlformats-officedocument.spreadsheetml.worksheet+xml"/>
  <Override PartName="/xl/drawings/drawing26.xml" ContentType="application/vnd.openxmlformats-officedocument.drawing+xml"/>
  <Override PartName="/xl/worksheets/sheet29.xml" ContentType="application/vnd.openxmlformats-officedocument.spreadsheetml.worksheet+xml"/>
  <Override PartName="/xl/drawings/drawing27.xml" ContentType="application/vnd.openxmlformats-officedocument.drawing+xml"/>
  <Override PartName="/xl/worksheets/sheet30.xml" ContentType="application/vnd.openxmlformats-officedocument.spreadsheetml.worksheet+xml"/>
  <Override PartName="/xl/drawings/drawing28.xml" ContentType="application/vnd.openxmlformats-officedocument.drawing+xml"/>
  <Override PartName="/xl/worksheets/sheet31.xml" ContentType="application/vnd.openxmlformats-officedocument.spreadsheetml.worksheet+xml"/>
  <Override PartName="/xl/drawings/drawing29.xml" ContentType="application/vnd.openxmlformats-officedocument.drawing+xml"/>
  <Override PartName="/xl/worksheets/sheet32.xml" ContentType="application/vnd.openxmlformats-officedocument.spreadsheetml.worksheet+xml"/>
  <Override PartName="/xl/drawings/drawing30.xml" ContentType="application/vnd.openxmlformats-officedocument.drawing+xml"/>
  <Override PartName="/xl/worksheets/sheet33.xml" ContentType="application/vnd.openxmlformats-officedocument.spreadsheetml.worksheet+xml"/>
  <Override PartName="/xl/drawings/drawing31.xml" ContentType="application/vnd.openxmlformats-officedocument.drawing+xml"/>
  <Override PartName="/xl/worksheets/sheet34.xml" ContentType="application/vnd.openxmlformats-officedocument.spreadsheetml.worksheet+xml"/>
  <Override PartName="/xl/drawings/drawing32.xml" ContentType="application/vnd.openxmlformats-officedocument.drawing+xml"/>
  <Override PartName="/xl/worksheets/sheet35.xml" ContentType="application/vnd.openxmlformats-officedocument.spreadsheetml.worksheet+xml"/>
  <Override PartName="/xl/drawings/drawing33.xml" ContentType="application/vnd.openxmlformats-officedocument.drawing+xml"/>
  <Override PartName="/xl/worksheets/sheet36.xml" ContentType="application/vnd.openxmlformats-officedocument.spreadsheetml.worksheet+xml"/>
  <Override PartName="/xl/drawings/drawing34.xml" ContentType="application/vnd.openxmlformats-officedocument.drawing+xml"/>
  <Override PartName="/xl/worksheets/sheet37.xml" ContentType="application/vnd.openxmlformats-officedocument.spreadsheetml.worksheet+xml"/>
  <Override PartName="/xl/drawings/drawing3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gas 01 dG rad_red" sheetId="3" state="visible" r:id="rId3"/>
    <sheet xmlns:r="http://schemas.openxmlformats.org/officeDocument/2006/relationships" name="gas 02 dG RA_2e_any" sheetId="4" state="visible" r:id="rId4"/>
    <sheet xmlns:r="http://schemas.openxmlformats.org/officeDocument/2006/relationships" name="gas 03 dG frag_any" sheetId="5" state="visible" r:id="rId5"/>
    <sheet xmlns:r="http://schemas.openxmlformats.org/officeDocument/2006/relationships" name="gas 04 dG 2e_carbanion" sheetId="6" state="visible" r:id="rId6"/>
    <sheet xmlns:r="http://schemas.openxmlformats.org/officeDocument/2006/relationships" name="gas 05 dG ET_any" sheetId="7" state="visible" r:id="rId7"/>
    <sheet xmlns:r="http://schemas.openxmlformats.org/officeDocument/2006/relationships" name="gas 06 n_X" sheetId="8" state="visible" r:id="rId8"/>
    <sheet xmlns:r="http://schemas.openxmlformats.org/officeDocument/2006/relationships" name="gas 07 wiberg_CX_parent" sheetId="9" state="visible" r:id="rId9"/>
    <sheet xmlns:r="http://schemas.openxmlformats.org/officeDocument/2006/relationships" name="gas 08 VEA" sheetId="10" state="visible" r:id="rId10"/>
    <sheet xmlns:r="http://schemas.openxmlformats.org/officeDocument/2006/relationships" name="gas 09 dG 2e_HDH" sheetId="11" state="visible" r:id="rId11"/>
    <sheet xmlns:r="http://schemas.openxmlformats.org/officeDocument/2006/relationships" name="gas 10 omega_dSCF" sheetId="12" state="visible" r:id="rId12"/>
    <sheet xmlns:r="http://schemas.openxmlformats.org/officeDocument/2006/relationships" name="gas 11 LUMO" sheetId="13" state="visible" r:id="rId13"/>
    <sheet xmlns:r="http://schemas.openxmlformats.org/officeDocument/2006/relationships" name="gas 12 dG 1e" sheetId="14" state="visible" r:id="rId14"/>
    <sheet xmlns:r="http://schemas.openxmlformats.org/officeDocument/2006/relationships" name="gas 13 BDE" sheetId="15" state="visible" r:id="rId15"/>
    <sheet xmlns:r="http://schemas.openxmlformats.org/officeDocument/2006/relationships" name="gas 14 LUMO_RA" sheetId="16" state="visible" r:id="rId16"/>
    <sheet xmlns:r="http://schemas.openxmlformats.org/officeDocument/2006/relationships" name="gas 15 dr_CX_RA" sheetId="17" state="visible" r:id="rId17"/>
    <sheet xmlns:r="http://schemas.openxmlformats.org/officeDocument/2006/relationships" name="gas 16 fplus_CX" sheetId="18" state="visible" r:id="rId18"/>
    <sheet xmlns:r="http://schemas.openxmlformats.org/officeDocument/2006/relationships" name="SMD 01 dG rad_red" sheetId="19" state="visible" r:id="rId19"/>
    <sheet xmlns:r="http://schemas.openxmlformats.org/officeDocument/2006/relationships" name="SMD 02 wiberg_CX_parent" sheetId="20" state="visible" r:id="rId20"/>
    <sheet xmlns:r="http://schemas.openxmlformats.org/officeDocument/2006/relationships" name="SMD 03 n_X" sheetId="21" state="visible" r:id="rId21"/>
    <sheet xmlns:r="http://schemas.openxmlformats.org/officeDocument/2006/relationships" name="SMD 04 dG 2e_carbanion" sheetId="22" state="visible" r:id="rId22"/>
    <sheet xmlns:r="http://schemas.openxmlformats.org/officeDocument/2006/relationships" name="SMD 05 dG0_act_concerted" sheetId="23" state="visible" r:id="rId23"/>
    <sheet xmlns:r="http://schemas.openxmlformats.org/officeDocument/2006/relationships" name="SMD 06 VEA" sheetId="24" state="visible" r:id="rId24"/>
    <sheet xmlns:r="http://schemas.openxmlformats.org/officeDocument/2006/relationships" name="SMD 07 dG 2e_HDH" sheetId="25" state="visible" r:id="rId25"/>
    <sheet xmlns:r="http://schemas.openxmlformats.org/officeDocument/2006/relationships" name="SMD 08 dG act_concerted" sheetId="26" state="visible" r:id="rId26"/>
    <sheet xmlns:r="http://schemas.openxmlformats.org/officeDocument/2006/relationships" name="SMD 09 dG act_combined" sheetId="27" state="visible" r:id="rId27"/>
    <sheet xmlns:r="http://schemas.openxmlformats.org/officeDocument/2006/relationships" name="SMD 10 omega_dSCF" sheetId="28" state="visible" r:id="rId28"/>
    <sheet xmlns:r="http://schemas.openxmlformats.org/officeDocument/2006/relationships" name="SMD 11 LUMO" sheetId="29" state="visible" r:id="rId29"/>
    <sheet xmlns:r="http://schemas.openxmlformats.org/officeDocument/2006/relationships" name="SMD 12 dG 1e" sheetId="30" state="visible" r:id="rId30"/>
    <sheet xmlns:r="http://schemas.openxmlformats.org/officeDocument/2006/relationships" name="SMD 13 BDE" sheetId="31" state="visible" r:id="rId31"/>
    <sheet xmlns:r="http://schemas.openxmlformats.org/officeDocument/2006/relationships" name="SMD 14 fplus_CX" sheetId="32" state="visible" r:id="rId32"/>
    <sheet xmlns:r="http://schemas.openxmlformats.org/officeDocument/2006/relationships" name="SMD 15 dG ET_any" sheetId="33" state="visible" r:id="rId33"/>
    <sheet xmlns:r="http://schemas.openxmlformats.org/officeDocument/2006/relationships" name="SMD 16 dG frag_any" sheetId="34" state="visible" r:id="rId34"/>
    <sheet xmlns:r="http://schemas.openxmlformats.org/officeDocument/2006/relationships" name="SMD 17 dr_CX_RA" sheetId="35" state="visible" r:id="rId35"/>
    <sheet xmlns:r="http://schemas.openxmlformats.org/officeDocument/2006/relationships" name="SMD 18 dG RA_2e_any" sheetId="36" state="visible" r:id="rId36"/>
    <sheet xmlns:r="http://schemas.openxmlformats.org/officeDocument/2006/relationships" name="SMD 19 LUMO_RA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Cambria"/>
      <sz val="10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charts/chart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01 dG rad_red'!B1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01 dG rad_red'!$D$2:$D$8</f>
              </numRef>
            </minus>
            <plus>
              <numRef>
                <f>'gas 01 dG rad_red'!$D$2:$D$8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01 dG rad_red'!$A$2:$A$8</f>
            </numRef>
          </xVal>
          <yVal>
            <numRef>
              <f>'gas 01 dG rad_red'!$B$2:$B$8</f>
            </numRef>
          </yVal>
          <smooth val="0"/>
        </ser>
        <ser>
          <idx val="1"/>
          <order val="1"/>
          <tx>
            <strRef>
              <f>'gas 01 dG rad_red'!H1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01 dG rad_red'!$G$2:$G$6</f>
            </numRef>
          </xVal>
          <yVal>
            <numRef>
              <f>'gas 01 dG rad_red'!$H$2:$H$6</f>
            </numRef>
          </yVal>
          <smooth val="0"/>
        </ser>
        <ser>
          <idx val="2"/>
          <order val="2"/>
          <tx>
            <strRef>
              <f>'gas 01 dG rad_red'!L1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01 dG rad_red'!$N$2:$N$3</f>
              </numRef>
            </minus>
            <plus>
              <numRef>
                <f>'gas 01 dG rad_red'!$N$2:$N$3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01 dG rad_red'!$K$2:$K$3</f>
            </numRef>
          </xVal>
          <yVal>
            <numRef>
              <f>'gas 01 dG rad_red'!$L$2:$L$3</f>
            </numRef>
          </yVal>
          <smooth val="0"/>
        </ser>
        <ser>
          <idx val="3"/>
          <order val="3"/>
          <tx>
            <strRef>
              <f>'gas 01 dG rad_red'!Q1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01 dG rad_red'!$P$2:$P$3</f>
            </numRef>
          </xVal>
          <yVal>
            <numRef>
              <f>'gas 01 dG rad_red'!$Q$2:$Q$3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02 dG RA_2e_any'!B1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02 dG RA_2e_any'!$D$2:$D$8</f>
              </numRef>
            </minus>
            <plus>
              <numRef>
                <f>'gas 02 dG RA_2e_any'!$D$2:$D$8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02 dG RA_2e_any'!$A$2:$A$8</f>
            </numRef>
          </xVal>
          <yVal>
            <numRef>
              <f>'gas 02 dG RA_2e_any'!$B$2:$B$8</f>
            </numRef>
          </yVal>
          <smooth val="0"/>
        </ser>
        <ser>
          <idx val="1"/>
          <order val="1"/>
          <tx>
            <strRef>
              <f>'gas 02 dG RA_2e_any'!H1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02 dG RA_2e_any'!$G$2:$G$6</f>
            </numRef>
          </xVal>
          <yVal>
            <numRef>
              <f>'gas 02 dG RA_2e_any'!$H$2:$H$6</f>
            </numRef>
          </yVal>
          <smooth val="0"/>
        </ser>
        <ser>
          <idx val="2"/>
          <order val="2"/>
          <tx>
            <strRef>
              <f>'gas 02 dG RA_2e_any'!L1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02 dG RA_2e_any'!$N$2:$N$3</f>
              </numRef>
            </minus>
            <plus>
              <numRef>
                <f>'gas 02 dG RA_2e_any'!$N$2:$N$3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02 dG RA_2e_any'!$K$2:$K$3</f>
            </numRef>
          </xVal>
          <yVal>
            <numRef>
              <f>'gas 02 dG RA_2e_any'!$L$2:$L$3</f>
            </numRef>
          </yVal>
          <smooth val="0"/>
        </ser>
        <ser>
          <idx val="3"/>
          <order val="3"/>
          <tx>
            <strRef>
              <f>'gas 02 dG RA_2e_any'!Q1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02 dG RA_2e_any'!$P$2:$P$3</f>
            </numRef>
          </xVal>
          <yVal>
            <numRef>
              <f>'gas 02 dG RA_2e_any'!$Q$2:$Q$3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03 dG frag_any'!B1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03 dG frag_any'!$D$2:$D$8</f>
              </numRef>
            </minus>
            <plus>
              <numRef>
                <f>'gas 03 dG frag_any'!$D$2:$D$8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03 dG frag_any'!$A$2:$A$8</f>
            </numRef>
          </xVal>
          <yVal>
            <numRef>
              <f>'gas 03 dG frag_any'!$B$2:$B$8</f>
            </numRef>
          </yVal>
          <smooth val="0"/>
        </ser>
        <ser>
          <idx val="1"/>
          <order val="1"/>
          <tx>
            <strRef>
              <f>'gas 03 dG frag_any'!H1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03 dG frag_any'!$G$2:$G$6</f>
            </numRef>
          </xVal>
          <yVal>
            <numRef>
              <f>'gas 03 dG frag_any'!$H$2:$H$6</f>
            </numRef>
          </yVal>
          <smooth val="0"/>
        </ser>
        <ser>
          <idx val="2"/>
          <order val="2"/>
          <tx>
            <strRef>
              <f>'gas 03 dG frag_any'!L1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03 dG frag_any'!$N$2:$N$3</f>
              </numRef>
            </minus>
            <plus>
              <numRef>
                <f>'gas 03 dG frag_any'!$N$2:$N$3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03 dG frag_any'!$K$2:$K$3</f>
            </numRef>
          </xVal>
          <yVal>
            <numRef>
              <f>'gas 03 dG frag_any'!$L$2:$L$3</f>
            </numRef>
          </yVal>
          <smooth val="0"/>
        </ser>
        <ser>
          <idx val="3"/>
          <order val="3"/>
          <tx>
            <strRef>
              <f>'gas 03 dG frag_any'!Q1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03 dG frag_any'!$P$2:$P$3</f>
            </numRef>
          </xVal>
          <yVal>
            <numRef>
              <f>'gas 03 dG frag_any'!$Q$2:$Q$3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0"/>
          <min val="-1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04 dG 2e_carbanion'!B1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04 dG 2e_carbanion'!$D$2:$D$8</f>
              </numRef>
            </minus>
            <plus>
              <numRef>
                <f>'gas 04 dG 2e_carbanion'!$D$2:$D$8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04 dG 2e_carbanion'!$A$2:$A$8</f>
            </numRef>
          </xVal>
          <yVal>
            <numRef>
              <f>'gas 04 dG 2e_carbanion'!$B$2:$B$8</f>
            </numRef>
          </yVal>
          <smooth val="0"/>
        </ser>
        <ser>
          <idx val="1"/>
          <order val="1"/>
          <tx>
            <strRef>
              <f>'gas 04 dG 2e_carbanion'!H1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04 dG 2e_carbanion'!$G$2:$G$6</f>
            </numRef>
          </xVal>
          <yVal>
            <numRef>
              <f>'gas 04 dG 2e_carbanion'!$H$2:$H$6</f>
            </numRef>
          </yVal>
          <smooth val="0"/>
        </ser>
        <ser>
          <idx val="2"/>
          <order val="2"/>
          <tx>
            <strRef>
              <f>'gas 04 dG 2e_carbanion'!L1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04 dG 2e_carbanion'!$N$2:$N$3</f>
              </numRef>
            </minus>
            <plus>
              <numRef>
                <f>'gas 04 dG 2e_carbanion'!$N$2:$N$3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04 dG 2e_carbanion'!$K$2:$K$3</f>
            </numRef>
          </xVal>
          <yVal>
            <numRef>
              <f>'gas 04 dG 2e_carbanion'!$L$2:$L$3</f>
            </numRef>
          </yVal>
          <smooth val="0"/>
        </ser>
        <ser>
          <idx val="3"/>
          <order val="3"/>
          <tx>
            <strRef>
              <f>'gas 04 dG 2e_carbanion'!Q1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04 dG 2e_carbanion'!$P$2:$P$3</f>
            </numRef>
          </xVal>
          <yVal>
            <numRef>
              <f>'gas 04 dG 2e_carbanion'!$Q$2:$Q$3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"/>
          <min val="-10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05 dG ET_any'!B1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05 dG ET_any'!$D$2:$D$8</f>
              </numRef>
            </minus>
            <plus>
              <numRef>
                <f>'gas 05 dG ET_any'!$D$2:$D$8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05 dG ET_any'!$A$2:$A$8</f>
            </numRef>
          </xVal>
          <yVal>
            <numRef>
              <f>'gas 05 dG ET_any'!$B$2:$B$8</f>
            </numRef>
          </yVal>
          <smooth val="0"/>
        </ser>
        <ser>
          <idx val="1"/>
          <order val="1"/>
          <tx>
            <strRef>
              <f>'gas 05 dG ET_any'!H1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05 dG ET_any'!$G$2:$G$6</f>
            </numRef>
          </xVal>
          <yVal>
            <numRef>
              <f>'gas 05 dG ET_any'!$H$2:$H$6</f>
            </numRef>
          </yVal>
          <smooth val="0"/>
        </ser>
        <ser>
          <idx val="2"/>
          <order val="2"/>
          <tx>
            <strRef>
              <f>'gas 05 dG ET_any'!L1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05 dG ET_any'!$N$2:$N$3</f>
              </numRef>
            </minus>
            <plus>
              <numRef>
                <f>'gas 05 dG ET_any'!$N$2:$N$3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05 dG ET_any'!$K$2:$K$3</f>
            </numRef>
          </xVal>
          <yVal>
            <numRef>
              <f>'gas 05 dG ET_any'!$L$2:$L$3</f>
            </numRef>
          </yVal>
          <smooth val="0"/>
        </ser>
        <ser>
          <idx val="3"/>
          <order val="3"/>
          <tx>
            <strRef>
              <f>'gas 05 dG ET_any'!Q1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05 dG ET_any'!$P$2:$P$3</f>
            </numRef>
          </xVal>
          <yVal>
            <numRef>
              <f>'gas 05 dG ET_any'!$Q$2:$Q$3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-5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06 n_X'!B1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06 n_X'!$D$2:$D$8</f>
              </numRef>
            </minus>
            <plus>
              <numRef>
                <f>'gas 06 n_X'!$D$2:$D$8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06 n_X'!$A$2:$A$8</f>
            </numRef>
          </xVal>
          <yVal>
            <numRef>
              <f>'gas 06 n_X'!$B$2:$B$8</f>
            </numRef>
          </yVal>
          <smooth val="0"/>
        </ser>
        <ser>
          <idx val="1"/>
          <order val="1"/>
          <tx>
            <strRef>
              <f>'gas 06 n_X'!H1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06 n_X'!$G$2:$G$6</f>
            </numRef>
          </xVal>
          <yVal>
            <numRef>
              <f>'gas 06 n_X'!$H$2:$H$6</f>
            </numRef>
          </yVal>
          <smooth val="0"/>
        </ser>
        <ser>
          <idx val="2"/>
          <order val="2"/>
          <tx>
            <strRef>
              <f>'gas 06 n_X'!L1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06 n_X'!$N$2:$N$3</f>
              </numRef>
            </minus>
            <plus>
              <numRef>
                <f>'gas 06 n_X'!$N$2:$N$3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06 n_X'!$K$2:$K$3</f>
            </numRef>
          </xVal>
          <yVal>
            <numRef>
              <f>'gas 06 n_X'!$L$2:$L$3</f>
            </numRef>
          </yVal>
          <smooth val="0"/>
        </ser>
        <ser>
          <idx val="3"/>
          <order val="3"/>
          <tx>
            <strRef>
              <f>'gas 06 n_X'!Q1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06 n_X'!$P$2:$P$3</f>
            </numRef>
          </xVal>
          <yVal>
            <numRef>
              <f>'gas 06 n_X'!$Q$2:$Q$3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number of halogens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07 wiberg_CX_parent'!B1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07 wiberg_CX_parent'!$D$2:$D$8</f>
              </numRef>
            </minus>
            <plus>
              <numRef>
                <f>'gas 07 wiberg_CX_parent'!$D$2:$D$8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07 wiberg_CX_parent'!$A$2:$A$8</f>
            </numRef>
          </xVal>
          <yVal>
            <numRef>
              <f>'gas 07 wiberg_CX_parent'!$B$2:$B$8</f>
            </numRef>
          </yVal>
          <smooth val="0"/>
        </ser>
        <ser>
          <idx val="1"/>
          <order val="1"/>
          <tx>
            <strRef>
              <f>'gas 07 wiberg_CX_parent'!H1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07 wiberg_CX_parent'!$G$2:$G$6</f>
            </numRef>
          </xVal>
          <yVal>
            <numRef>
              <f>'gas 07 wiberg_CX_parent'!$H$2:$H$6</f>
            </numRef>
          </yVal>
          <smooth val="0"/>
        </ser>
        <ser>
          <idx val="2"/>
          <order val="2"/>
          <tx>
            <strRef>
              <f>'gas 07 wiberg_CX_parent'!L1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07 wiberg_CX_parent'!$N$2:$N$3</f>
              </numRef>
            </minus>
            <plus>
              <numRef>
                <f>'gas 07 wiberg_CX_parent'!$N$2:$N$3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07 wiberg_CX_parent'!$K$2:$K$3</f>
            </numRef>
          </xVal>
          <yVal>
            <numRef>
              <f>'gas 07 wiberg_CX_parent'!$L$2:$L$3</f>
            </numRef>
          </yVal>
          <smooth val="0"/>
        </ser>
        <ser>
          <idx val="3"/>
          <order val="3"/>
          <tx>
            <strRef>
              <f>'gas 07 wiberg_CX_parent'!Q1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07 wiberg_CX_parent'!$P$2:$P$3</f>
            </numRef>
          </xVal>
          <yVal>
            <numRef>
              <f>'gas 07 wiberg_CX_parent'!$Q$2:$Q$3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1"/>
          <min val="1.0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Wiberg C–X bond order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08 VEA'!B1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-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08 VEA'!$D$2:$D$8</f>
              </numRef>
            </minus>
            <plus>
              <numRef>
                <f>'gas 08 VEA'!$D$2:$D$8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08 VEA'!$A$2:$A$8</f>
            </numRef>
          </xVal>
          <yVal>
            <numRef>
              <f>'gas 08 VEA'!$B$2:$B$8</f>
            </numRef>
          </yVal>
          <smooth val="0"/>
        </ser>
        <ser>
          <idx val="1"/>
          <order val="1"/>
          <tx>
            <strRef>
              <f>'gas 08 VEA'!H1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08 VEA'!$G$2:$G$6</f>
            </numRef>
          </xVal>
          <yVal>
            <numRef>
              <f>'gas 08 VEA'!$H$2:$H$6</f>
            </numRef>
          </yVal>
          <smooth val="0"/>
        </ser>
        <ser>
          <idx val="2"/>
          <order val="2"/>
          <tx>
            <strRef>
              <f>'gas 08 VEA'!L1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08 VEA'!$N$2:$N$3</f>
              </numRef>
            </minus>
            <plus>
              <numRef>
                <f>'gas 08 VEA'!$N$2:$N$3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08 VEA'!$K$2:$K$3</f>
            </numRef>
          </xVal>
          <yVal>
            <numRef>
              <f>'gas 08 VEA'!$L$2:$L$3</f>
            </numRef>
          </yVal>
          <smooth val="0"/>
        </ser>
        <ser>
          <idx val="3"/>
          <order val="3"/>
          <tx>
            <strRef>
              <f>'gas 08 VEA'!Q1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08 VEA'!$P$2:$P$3</f>
            </numRef>
          </xVal>
          <yVal>
            <numRef>
              <f>'gas 08 VEA'!$Q$2:$Q$3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-1.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vertical electron affinity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09 dG 2e_HDH'!B1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09 dG 2e_HDH'!$D$2:$D$8</f>
              </numRef>
            </minus>
            <plus>
              <numRef>
                <f>'gas 09 dG 2e_HDH'!$D$2:$D$8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09 dG 2e_HDH'!$A$2:$A$8</f>
            </numRef>
          </xVal>
          <yVal>
            <numRef>
              <f>'gas 09 dG 2e_HDH'!$B$2:$B$8</f>
            </numRef>
          </yVal>
          <smooth val="0"/>
        </ser>
        <ser>
          <idx val="1"/>
          <order val="1"/>
          <tx>
            <strRef>
              <f>'gas 09 dG 2e_HDH'!H1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09 dG 2e_HDH'!$G$2:$G$6</f>
            </numRef>
          </xVal>
          <yVal>
            <numRef>
              <f>'gas 09 dG 2e_HDH'!$H$2:$H$6</f>
            </numRef>
          </yVal>
          <smooth val="0"/>
        </ser>
        <ser>
          <idx val="2"/>
          <order val="2"/>
          <tx>
            <strRef>
              <f>'gas 09 dG 2e_HDH'!L1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09 dG 2e_HDH'!$N$2:$N$3</f>
              </numRef>
            </minus>
            <plus>
              <numRef>
                <f>'gas 09 dG 2e_HDH'!$N$2:$N$3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09 dG 2e_HDH'!$K$2:$K$3</f>
            </numRef>
          </xVal>
          <yVal>
            <numRef>
              <f>'gas 09 dG 2e_HDH'!$L$2:$L$3</f>
            </numRef>
          </yVal>
          <smooth val="0"/>
        </ser>
        <ser>
          <idx val="3"/>
          <order val="3"/>
          <tx>
            <strRef>
              <f>'gas 09 dG 2e_HDH'!Q1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09 dG 2e_HDH'!$P$2:$P$3</f>
            </numRef>
          </xVal>
          <yVal>
            <numRef>
              <f>'gas 09 dG 2e_HDH'!$Q$2:$Q$3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410"/>
          <min val="-43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+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ArH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10 omega_dSCF'!B1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10 omega_dSCF'!$D$2:$D$8</f>
              </numRef>
            </minus>
            <plus>
              <numRef>
                <f>'gas 10 omega_dSCF'!$D$2:$D$8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10 omega_dSCF'!$A$2:$A$8</f>
            </numRef>
          </xVal>
          <yVal>
            <numRef>
              <f>'gas 10 omega_dSCF'!$B$2:$B$8</f>
            </numRef>
          </yVal>
          <smooth val="0"/>
        </ser>
        <ser>
          <idx val="1"/>
          <order val="1"/>
          <tx>
            <strRef>
              <f>'gas 10 omega_dSCF'!H1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10 omega_dSCF'!$G$2:$G$6</f>
            </numRef>
          </xVal>
          <yVal>
            <numRef>
              <f>'gas 10 omega_dSCF'!$H$2:$H$6</f>
            </numRef>
          </yVal>
          <smooth val="0"/>
        </ser>
        <ser>
          <idx val="2"/>
          <order val="2"/>
          <tx>
            <strRef>
              <f>'gas 10 omega_dSCF'!L1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476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10 omega_dSCF'!$N$2:$N$3</f>
              </numRef>
            </minus>
            <plus>
              <numRef>
                <f>'gas 10 omega_dSCF'!$N$2:$N$3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10 omega_dSCF'!$K$2:$K$3</f>
            </numRef>
          </xVal>
          <yVal>
            <numRef>
              <f>'gas 10 omega_dSCF'!$L$2:$L$3</f>
            </numRef>
          </yVal>
          <smooth val="0"/>
        </ser>
        <ser>
          <idx val="3"/>
          <order val="3"/>
          <tx>
            <strRef>
              <f>'gas 10 omega_dSCF'!Q1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10 omega_dSCF'!$P$2:$P$3</f>
            </numRef>
          </xVal>
          <yVal>
            <numRef>
              <f>'gas 10 omega_dSCF'!$Q$2:$Q$3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6"/>
          <min val="0.600000000000000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electrophilicity index (ΔSCF)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11 LUMO'!B1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11 LUMO'!$D$2:$D$8</f>
              </numRef>
            </minus>
            <plus>
              <numRef>
                <f>'gas 11 LUMO'!$D$2:$D$8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11 LUMO'!$A$2:$A$8</f>
            </numRef>
          </xVal>
          <yVal>
            <numRef>
              <f>'gas 11 LUMO'!$B$2:$B$8</f>
            </numRef>
          </yVal>
          <smooth val="0"/>
        </ser>
        <ser>
          <idx val="1"/>
          <order val="1"/>
          <tx>
            <strRef>
              <f>'gas 11 LUMO'!H1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11 LUMO'!$G$2:$G$6</f>
            </numRef>
          </xVal>
          <yVal>
            <numRef>
              <f>'gas 11 LUMO'!$H$2:$H$6</f>
            </numRef>
          </yVal>
          <smooth val="0"/>
        </ser>
        <ser>
          <idx val="2"/>
          <order val="2"/>
          <tx>
            <strRef>
              <f>'gas 11 LUMO'!L1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11 LUMO'!$N$2:$N$3</f>
              </numRef>
            </minus>
            <plus>
              <numRef>
                <f>'gas 11 LUMO'!$N$2:$N$3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11 LUMO'!$K$2:$K$3</f>
            </numRef>
          </xVal>
          <yVal>
            <numRef>
              <f>'gas 11 LUMO'!$L$2:$L$3</f>
            </numRef>
          </yVal>
          <smooth val="0"/>
        </ser>
        <ser>
          <idx val="3"/>
          <order val="3"/>
          <tx>
            <strRef>
              <f>'gas 11 LUMO'!Q1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11 LUMO'!$P$2:$P$3</f>
            </numRef>
          </xVal>
          <yVal>
            <numRef>
              <f>'gas 11 LUMO'!$Q$2:$Q$3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ArX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5600000000000001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12 dG 1e'!B1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12 dG 1e'!$D$2:$D$8</f>
              </numRef>
            </minus>
            <plus>
              <numRef>
                <f>'gas 12 dG 1e'!$D$2:$D$8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12 dG 1e'!$A$2:$A$8</f>
            </numRef>
          </xVal>
          <yVal>
            <numRef>
              <f>'gas 12 dG 1e'!$B$2:$B$8</f>
            </numRef>
          </yVal>
          <smooth val="0"/>
        </ser>
        <ser>
          <idx val="1"/>
          <order val="1"/>
          <tx>
            <strRef>
              <f>'gas 12 dG 1e'!H1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12 dG 1e'!$G$2:$G$6</f>
            </numRef>
          </xVal>
          <yVal>
            <numRef>
              <f>'gas 12 dG 1e'!$H$2:$H$6</f>
            </numRef>
          </yVal>
          <smooth val="0"/>
        </ser>
        <ser>
          <idx val="2"/>
          <order val="2"/>
          <tx>
            <strRef>
              <f>'gas 12 dG 1e'!L1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12 dG 1e'!$N$2:$N$3</f>
              </numRef>
            </minus>
            <plus>
              <numRef>
                <f>'gas 12 dG 1e'!$N$2:$N$3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12 dG 1e'!$K$2:$K$3</f>
            </numRef>
          </xVal>
          <yVal>
            <numRef>
              <f>'gas 12 dG 1e'!$L$2:$L$3</f>
            </numRef>
          </yVal>
          <smooth val="0"/>
        </ser>
        <ser>
          <idx val="3"/>
          <order val="3"/>
          <tx>
            <strRef>
              <f>'gas 12 dG 1e'!Q1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12 dG 1e'!$P$2:$P$3</f>
            </numRef>
          </xVal>
          <yVal>
            <numRef>
              <f>'gas 12 dG 1e'!$Q$2:$Q$3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5"/>
          <min val="-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13 BDE'!B1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13 BDE'!$D$2:$D$8</f>
              </numRef>
            </minus>
            <plus>
              <numRef>
                <f>'gas 13 BDE'!$D$2:$D$8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13 BDE'!$A$2:$A$8</f>
            </numRef>
          </xVal>
          <yVal>
            <numRef>
              <f>'gas 13 BDE'!$B$2:$B$8</f>
            </numRef>
          </yVal>
          <smooth val="0"/>
        </ser>
        <ser>
          <idx val="1"/>
          <order val="1"/>
          <tx>
            <strRef>
              <f>'gas 13 BDE'!H1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13 BDE'!$G$2:$G$6</f>
            </numRef>
          </xVal>
          <yVal>
            <numRef>
              <f>'gas 13 BDE'!$H$2:$H$6</f>
            </numRef>
          </yVal>
          <smooth val="0"/>
        </ser>
        <ser>
          <idx val="2"/>
          <order val="2"/>
          <tx>
            <strRef>
              <f>'gas 13 BDE'!L1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13 BDE'!$N$2:$N$3</f>
              </numRef>
            </minus>
            <plus>
              <numRef>
                <f>'gas 13 BDE'!$N$2:$N$3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13 BDE'!$K$2:$K$3</f>
            </numRef>
          </xVal>
          <yVal>
            <numRef>
              <f>'gas 13 BDE'!$L$2:$L$3</f>
            </numRef>
          </yVal>
          <smooth val="0"/>
        </ser>
        <ser>
          <idx val="3"/>
          <order val="3"/>
          <tx>
            <strRef>
              <f>'gas 13 BDE'!Q1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13 BDE'!$P$2:$P$3</f>
            </numRef>
          </xVal>
          <yVal>
            <numRef>
              <f>'gas 13 BDE'!$Q$2:$Q$3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C–X bond enthalpy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14 LUMO_RA'!B1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14 LUMO_RA'!$D$2:$D$8</f>
              </numRef>
            </minus>
            <plus>
              <numRef>
                <f>'gas 14 LUMO_RA'!$D$2:$D$8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14 LUMO_RA'!$A$2:$A$8</f>
            </numRef>
          </xVal>
          <yVal>
            <numRef>
              <f>'gas 14 LUMO_RA'!$B$2:$B$8</f>
            </numRef>
          </yVal>
          <smooth val="0"/>
        </ser>
        <ser>
          <idx val="1"/>
          <order val="1"/>
          <tx>
            <strRef>
              <f>'gas 14 LUMO_RA'!H1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14 LUMO_RA'!$G$2:$G$6</f>
            </numRef>
          </xVal>
          <yVal>
            <numRef>
              <f>'gas 14 LUMO_RA'!$H$2:$H$6</f>
            </numRef>
          </yVal>
          <smooth val="0"/>
        </ser>
        <ser>
          <idx val="2"/>
          <order val="2"/>
          <tx>
            <strRef>
              <f>'gas 14 LUMO_RA'!L1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14 LUMO_RA'!$N$2:$N$3</f>
              </numRef>
            </minus>
            <plus>
              <numRef>
                <f>'gas 14 LUMO_RA'!$N$2:$N$3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14 LUMO_RA'!$K$2:$K$3</f>
            </numRef>
          </xVal>
          <yVal>
            <numRef>
              <f>'gas 14 LUMO_RA'!$L$2:$L$3</f>
            </numRef>
          </yVal>
          <smooth val="0"/>
        </ser>
        <ser>
          <idx val="3"/>
          <order val="3"/>
          <tx>
            <strRef>
              <f>'gas 14 LUMO_RA'!Q1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14 LUMO_RA'!$P$2:$P$3</f>
            </numRef>
          </xVal>
          <yVal>
            <numRef>
              <f>'gas 14 LUMO_RA'!$Q$2:$Q$3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.5"/>
          <min val="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the radical anion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15 dr_CX_RA'!B1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15 dr_CX_RA'!$D$2:$D$8</f>
              </numRef>
            </minus>
            <plus>
              <numRef>
                <f>'gas 15 dr_CX_RA'!$D$2:$D$8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15 dr_CX_RA'!$A$2:$A$8</f>
            </numRef>
          </xVal>
          <yVal>
            <numRef>
              <f>'gas 15 dr_CX_RA'!$B$2:$B$8</f>
            </numRef>
          </yVal>
          <smooth val="0"/>
        </ser>
        <ser>
          <idx val="1"/>
          <order val="1"/>
          <tx>
            <strRef>
              <f>'gas 15 dr_CX_RA'!H1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15 dr_CX_RA'!$G$2:$G$6</f>
            </numRef>
          </xVal>
          <yVal>
            <numRef>
              <f>'gas 15 dr_CX_RA'!$H$2:$H$6</f>
            </numRef>
          </yVal>
          <smooth val="0"/>
        </ser>
        <ser>
          <idx val="2"/>
          <order val="2"/>
          <tx>
            <strRef>
              <f>'gas 15 dr_CX_RA'!L1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15 dr_CX_RA'!$N$2:$N$3</f>
              </numRef>
            </minus>
            <plus>
              <numRef>
                <f>'gas 15 dr_CX_RA'!$N$2:$N$3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15 dr_CX_RA'!$K$2:$K$3</f>
            </numRef>
          </xVal>
          <yVal>
            <numRef>
              <f>'gas 15 dr_CX_RA'!$L$2:$L$3</f>
            </numRef>
          </yVal>
          <smooth val="0"/>
        </ser>
        <ser>
          <idx val="3"/>
          <order val="3"/>
          <tx>
            <strRef>
              <f>'gas 15 dr_CX_RA'!Q1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15 dr_CX_RA'!$P$2:$P$3</f>
            </numRef>
          </xVal>
          <yVal>
            <numRef>
              <f>'gas 15 dr_CX_RA'!$Q$2:$Q$3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25"/>
          <min val="-0.2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C–X elongation in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(Å)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'gas 16 fplus_CX'!B1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16 fplus_CX'!$D$2:$D$8</f>
              </numRef>
            </minus>
            <plus>
              <numRef>
                <f>'gas 16 fplus_CX'!$D$2:$D$8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16 fplus_CX'!$A$2:$A$8</f>
            </numRef>
          </xVal>
          <yVal>
            <numRef>
              <f>'gas 16 fplus_CX'!$B$2:$B$8</f>
            </numRef>
          </yVal>
          <smooth val="0"/>
        </ser>
        <ser>
          <idx val="1"/>
          <order val="1"/>
          <tx>
            <strRef>
              <f>'gas 16 fplus_CX'!H1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'gas 16 fplus_CX'!$G$2:$G$6</f>
            </numRef>
          </xVal>
          <yVal>
            <numRef>
              <f>'gas 16 fplus_CX'!$H$2:$H$6</f>
            </numRef>
          </yVal>
          <smooth val="0"/>
        </ser>
        <ser>
          <idx val="2"/>
          <order val="2"/>
          <tx>
            <strRef>
              <f>'gas 16 fplus_CX'!L1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'gas 16 fplus_CX'!$N$2:$N$3</f>
              </numRef>
            </minus>
            <plus>
              <numRef>
                <f>'gas 16 fplus_CX'!$N$2:$N$3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'gas 16 fplus_CX'!$K$2:$K$3</f>
            </numRef>
          </xVal>
          <yVal>
            <numRef>
              <f>'gas 16 fplus_CX'!$L$2:$L$3</f>
            </numRef>
          </yVal>
          <smooth val="0"/>
        </ser>
        <ser>
          <idx val="3"/>
          <order val="3"/>
          <tx>
            <strRef>
              <f>'gas 16 fplus_CX'!Q1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'gas 16 fplus_CX'!$P$2:$P$3</f>
            </numRef>
          </xVal>
          <yVal>
            <numRef>
              <f>'gas 16 fplus_CX'!$Q$2:$Q$3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4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Fukui f+ on a C–X bond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01 dG rad_red'!B1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01 dG rad_red'!$D$2:$D$8</f>
              </numRef>
            </minus>
            <plus>
              <numRef>
                <f>'SMD 01 dG rad_red'!$D$2:$D$8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01 dG rad_red'!$A$2:$A$8</f>
            </numRef>
          </xVal>
          <yVal>
            <numRef>
              <f>'SMD 01 dG rad_red'!$B$2:$B$8</f>
            </numRef>
          </yVal>
          <smooth val="0"/>
        </ser>
        <ser>
          <idx val="1"/>
          <order val="1"/>
          <tx>
            <strRef>
              <f>'SMD 01 dG rad_red'!H1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01 dG rad_red'!$G$2:$G$6</f>
            </numRef>
          </xVal>
          <yVal>
            <numRef>
              <f>'SMD 01 dG rad_red'!$H$2:$H$6</f>
            </numRef>
          </yVal>
          <smooth val="0"/>
        </ser>
        <ser>
          <idx val="2"/>
          <order val="2"/>
          <tx>
            <strRef>
              <f>'SMD 01 dG rad_red'!L1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01 dG rad_red'!$N$2:$N$3</f>
              </numRef>
            </minus>
            <plus>
              <numRef>
                <f>'SMD 01 dG rad_red'!$N$2:$N$3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01 dG rad_red'!$K$2:$K$3</f>
            </numRef>
          </xVal>
          <yVal>
            <numRef>
              <f>'SMD 01 dG rad_red'!$L$2:$L$3</f>
            </numRef>
          </yVal>
          <smooth val="0"/>
        </ser>
        <ser>
          <idx val="3"/>
          <order val="3"/>
          <tx>
            <strRef>
              <f>'SMD 01 dG rad_red'!Q1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01 dG rad_red'!$P$2:$P$3</f>
            </numRef>
          </xVal>
          <yVal>
            <numRef>
              <f>'SMD 01 dG rad_red'!$Q$2:$Q$3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80"/>
          <min val="-12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02 wiberg_CX_parent'!B1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02 wiberg_CX_parent'!$D$2:$D$8</f>
              </numRef>
            </minus>
            <plus>
              <numRef>
                <f>'SMD 02 wiberg_CX_parent'!$D$2:$D$8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02 wiberg_CX_parent'!$A$2:$A$8</f>
            </numRef>
          </xVal>
          <yVal>
            <numRef>
              <f>'SMD 02 wiberg_CX_parent'!$B$2:$B$8</f>
            </numRef>
          </yVal>
          <smooth val="0"/>
        </ser>
        <ser>
          <idx val="1"/>
          <order val="1"/>
          <tx>
            <strRef>
              <f>'SMD 02 wiberg_CX_parent'!H1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02 wiberg_CX_parent'!$G$2:$G$6</f>
            </numRef>
          </xVal>
          <yVal>
            <numRef>
              <f>'SMD 02 wiberg_CX_parent'!$H$2:$H$6</f>
            </numRef>
          </yVal>
          <smooth val="0"/>
        </ser>
        <ser>
          <idx val="2"/>
          <order val="2"/>
          <tx>
            <strRef>
              <f>'SMD 02 wiberg_CX_parent'!L1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02 wiberg_CX_parent'!$N$2:$N$3</f>
              </numRef>
            </minus>
            <plus>
              <numRef>
                <f>'SMD 02 wiberg_CX_parent'!$N$2:$N$3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02 wiberg_CX_parent'!$K$2:$K$3</f>
            </numRef>
          </xVal>
          <yVal>
            <numRef>
              <f>'SMD 02 wiberg_CX_parent'!$L$2:$L$3</f>
            </numRef>
          </yVal>
          <smooth val="0"/>
        </ser>
        <ser>
          <idx val="3"/>
          <order val="3"/>
          <tx>
            <strRef>
              <f>'SMD 02 wiberg_CX_parent'!Q1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02 wiberg_CX_parent'!$P$2:$P$3</f>
            </numRef>
          </xVal>
          <yVal>
            <numRef>
              <f>'SMD 02 wiberg_CX_parent'!$Q$2:$Q$3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.1"/>
          <min val="1.0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Wiberg C–X bond order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03 n_X'!B1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03 n_X'!$D$2:$D$8</f>
              </numRef>
            </minus>
            <plus>
              <numRef>
                <f>'SMD 03 n_X'!$D$2:$D$8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03 n_X'!$A$2:$A$8</f>
            </numRef>
          </xVal>
          <yVal>
            <numRef>
              <f>'SMD 03 n_X'!$B$2:$B$8</f>
            </numRef>
          </yVal>
          <smooth val="0"/>
        </ser>
        <ser>
          <idx val="1"/>
          <order val="1"/>
          <tx>
            <strRef>
              <f>'SMD 03 n_X'!H1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03 n_X'!$G$2:$G$6</f>
            </numRef>
          </xVal>
          <yVal>
            <numRef>
              <f>'SMD 03 n_X'!$H$2:$H$6</f>
            </numRef>
          </yVal>
          <smooth val="0"/>
        </ser>
        <ser>
          <idx val="2"/>
          <order val="2"/>
          <tx>
            <strRef>
              <f>'SMD 03 n_X'!L1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03 n_X'!$N$2:$N$3</f>
              </numRef>
            </minus>
            <plus>
              <numRef>
                <f>'SMD 03 n_X'!$N$2:$N$3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03 n_X'!$K$2:$K$3</f>
            </numRef>
          </xVal>
          <yVal>
            <numRef>
              <f>'SMD 03 n_X'!$L$2:$L$3</f>
            </numRef>
          </yVal>
          <smooth val="0"/>
        </ser>
        <ser>
          <idx val="3"/>
          <order val="3"/>
          <tx>
            <strRef>
              <f>'SMD 03 n_X'!Q1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03 n_X'!$P$2:$P$3</f>
            </numRef>
          </xVal>
          <yVal>
            <numRef>
              <f>'SMD 03 n_X'!$Q$2:$Q$3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8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number of halogens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04 dG 2e_carbanion'!B1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476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04 dG 2e_carbanion'!$D$2:$D$8</f>
              </numRef>
            </minus>
            <plus>
              <numRef>
                <f>'SMD 04 dG 2e_carbanion'!$D$2:$D$8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04 dG 2e_carbanion'!$A$2:$A$8</f>
            </numRef>
          </xVal>
          <yVal>
            <numRef>
              <f>'SMD 04 dG 2e_carbanion'!$B$2:$B$8</f>
            </numRef>
          </yVal>
          <smooth val="0"/>
        </ser>
        <ser>
          <idx val="1"/>
          <order val="1"/>
          <tx>
            <strRef>
              <f>'SMD 04 dG 2e_carbanion'!H1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04 dG 2e_carbanion'!$G$2:$G$6</f>
            </numRef>
          </xVal>
          <yVal>
            <numRef>
              <f>'SMD 04 dG 2e_carbanion'!$H$2:$H$6</f>
            </numRef>
          </yVal>
          <smooth val="0"/>
        </ser>
        <ser>
          <idx val="2"/>
          <order val="2"/>
          <tx>
            <strRef>
              <f>'SMD 04 dG 2e_carbanion'!L1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04 dG 2e_carbanion'!$N$2:$N$3</f>
              </numRef>
            </minus>
            <plus>
              <numRef>
                <f>'SMD 04 dG 2e_carbanion'!$N$2:$N$3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04 dG 2e_carbanion'!$K$2:$K$3</f>
            </numRef>
          </xVal>
          <yVal>
            <numRef>
              <f>'SMD 04 dG 2e_carbanion'!$L$2:$L$3</f>
            </numRef>
          </yVal>
          <smooth val="0"/>
        </ser>
        <ser>
          <idx val="3"/>
          <order val="3"/>
          <tx>
            <strRef>
              <f>'SMD 04 dG 2e_carbanion'!Q1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04 dG 2e_carbanion'!$P$2:$P$3</f>
            </numRef>
          </xVal>
          <yVal>
            <numRef>
              <f>'SMD 04 dG 2e_carbanion'!$Q$2:$Q$3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140"/>
          <min val="-19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05 dG0_act_concerted'!B1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05 dG0_act_concerted'!$D$2:$D$8</f>
              </numRef>
            </minus>
            <plus>
              <numRef>
                <f>'SMD 05 dG0_act_concerted'!$D$2:$D$8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05 dG0_act_concerted'!$A$2:$A$8</f>
            </numRef>
          </xVal>
          <yVal>
            <numRef>
              <f>'SMD 05 dG0_act_concerted'!$B$2:$B$8</f>
            </numRef>
          </yVal>
          <smooth val="0"/>
        </ser>
        <ser>
          <idx val="1"/>
          <order val="1"/>
          <tx>
            <strRef>
              <f>'SMD 05 dG0_act_concerted'!H1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05 dG0_act_concerted'!$G$2:$G$6</f>
            </numRef>
          </xVal>
          <yVal>
            <numRef>
              <f>'SMD 05 dG0_act_concerted'!$H$2:$H$6</f>
            </numRef>
          </yVal>
          <smooth val="0"/>
        </ser>
        <ser>
          <idx val="2"/>
          <order val="2"/>
          <tx>
            <strRef>
              <f>'SMD 05 dG0_act_concerted'!L1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05 dG0_act_concerted'!$N$2:$N$3</f>
              </numRef>
            </minus>
            <plus>
              <numRef>
                <f>'SMD 05 dG0_act_concerted'!$N$2:$N$3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05 dG0_act_concerted'!$K$2:$K$3</f>
            </numRef>
          </xVal>
          <yVal>
            <numRef>
              <f>'SMD 05 dG0_act_concerted'!$L$2:$L$3</f>
            </numRef>
          </yVal>
          <smooth val="0"/>
        </ser>
        <ser>
          <idx val="3"/>
          <order val="3"/>
          <tx>
            <strRef>
              <f>'SMD 05 dG0_act_concerted'!Q1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05 dG0_act_concerted'!$P$2:$P$3</f>
            </numRef>
          </xVal>
          <yVal>
            <numRef>
              <f>'SMD 05 dG0_act_concerted'!$Q$2:$Q$3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32"/>
          <min val="2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Savéant intrinsic barrier (weakest C–X)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06 VEA'!B1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06 VEA'!$D$2:$D$8</f>
              </numRef>
            </minus>
            <plus>
              <numRef>
                <f>'SMD 06 VEA'!$D$2:$D$8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06 VEA'!$A$2:$A$8</f>
            </numRef>
          </xVal>
          <yVal>
            <numRef>
              <f>'SMD 06 VEA'!$B$2:$B$8</f>
            </numRef>
          </yVal>
          <smooth val="0"/>
        </ser>
        <ser>
          <idx val="1"/>
          <order val="1"/>
          <tx>
            <strRef>
              <f>'SMD 06 VEA'!H1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476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06 VEA'!$G$2:$G$6</f>
            </numRef>
          </xVal>
          <yVal>
            <numRef>
              <f>'SMD 06 VEA'!$H$2:$H$6</f>
            </numRef>
          </yVal>
          <smooth val="0"/>
        </ser>
        <ser>
          <idx val="2"/>
          <order val="2"/>
          <tx>
            <strRef>
              <f>'SMD 06 VEA'!L1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06 VEA'!$N$2:$N$3</f>
              </numRef>
            </minus>
            <plus>
              <numRef>
                <f>'SMD 06 VEA'!$N$2:$N$3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06 VEA'!$K$2:$K$3</f>
            </numRef>
          </xVal>
          <yVal>
            <numRef>
              <f>'SMD 06 VEA'!$L$2:$L$3</f>
            </numRef>
          </yVal>
          <smooth val="0"/>
        </ser>
        <ser>
          <idx val="3"/>
          <order val="3"/>
          <tx>
            <strRef>
              <f>'SMD 06 VEA'!Q1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06 VEA'!$P$2:$P$3</f>
            </numRef>
          </xVal>
          <yVal>
            <numRef>
              <f>'SMD 06 VEA'!$Q$2:$Q$3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.5"/>
          <min val="0.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vertical electron affinity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19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07 dG 2e_HDH'!B1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07 dG 2e_HDH'!$D$2:$D$8</f>
              </numRef>
            </minus>
            <plus>
              <numRef>
                <f>'SMD 07 dG 2e_HDH'!$D$2:$D$8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07 dG 2e_HDH'!$A$2:$A$8</f>
            </numRef>
          </xVal>
          <yVal>
            <numRef>
              <f>'SMD 07 dG 2e_HDH'!$B$2:$B$8</f>
            </numRef>
          </yVal>
          <smooth val="0"/>
        </ser>
        <ser>
          <idx val="1"/>
          <order val="1"/>
          <tx>
            <strRef>
              <f>'SMD 07 dG 2e_HDH'!H1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07 dG 2e_HDH'!$G$2:$G$6</f>
            </numRef>
          </xVal>
          <yVal>
            <numRef>
              <f>'SMD 07 dG 2e_HDH'!$H$2:$H$6</f>
            </numRef>
          </yVal>
          <smooth val="0"/>
        </ser>
        <ser>
          <idx val="2"/>
          <order val="2"/>
          <tx>
            <strRef>
              <f>'SMD 07 dG 2e_HDH'!L1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07 dG 2e_HDH'!$N$2:$N$3</f>
              </numRef>
            </minus>
            <plus>
              <numRef>
                <f>'SMD 07 dG 2e_HDH'!$N$2:$N$3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07 dG 2e_HDH'!$K$2:$K$3</f>
            </numRef>
          </xVal>
          <yVal>
            <numRef>
              <f>'SMD 07 dG 2e_HDH'!$L$2:$L$3</f>
            </numRef>
          </yVal>
          <smooth val="0"/>
        </ser>
        <ser>
          <idx val="3"/>
          <order val="3"/>
          <tx>
            <strRef>
              <f>'SMD 07 dG 2e_HDH'!Q1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07 dG 2e_HDH'!$P$2:$P$3</f>
            </numRef>
          </xVal>
          <yVal>
            <numRef>
              <f>'SMD 07 dG 2e_HDH'!$Q$2:$Q$3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205"/>
          <min val="-22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+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+ 2e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ArH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08 dG act_concerted'!B1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08 dG act_concerted'!$D$2:$D$8</f>
              </numRef>
            </minus>
            <plus>
              <numRef>
                <f>'SMD 08 dG act_concerted'!$D$2:$D$8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08 dG act_concerted'!$A$2:$A$8</f>
            </numRef>
          </xVal>
          <yVal>
            <numRef>
              <f>'SMD 08 dG act_concerted'!$B$2:$B$8</f>
            </numRef>
          </yVal>
          <smooth val="0"/>
        </ser>
        <ser>
          <idx val="1"/>
          <order val="1"/>
          <tx>
            <strRef>
              <f>'SMD 08 dG act_concerted'!H1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794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08 dG act_concerted'!$G$2:$G$6</f>
            </numRef>
          </xVal>
          <yVal>
            <numRef>
              <f>'SMD 08 dG act_concerted'!$H$2:$H$6</f>
            </numRef>
          </yVal>
          <smooth val="0"/>
        </ser>
        <ser>
          <idx val="2"/>
          <order val="2"/>
          <tx>
            <strRef>
              <f>'SMD 08 dG act_concerted'!L1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08 dG act_concerted'!$N$2:$N$3</f>
              </numRef>
            </minus>
            <plus>
              <numRef>
                <f>'SMD 08 dG act_concerted'!$N$2:$N$3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08 dG act_concerted'!$K$2:$K$3</f>
            </numRef>
          </xVal>
          <yVal>
            <numRef>
              <f>'SMD 08 dG act_concerted'!$L$2:$L$3</f>
            </numRef>
          </yVal>
          <smooth val="0"/>
        </ser>
        <ser>
          <idx val="3"/>
          <order val="3"/>
          <tx>
            <strRef>
              <f>'SMD 08 dG act_concerted'!Q1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08 dG act_concerted'!$P$2:$P$3</f>
            </numRef>
          </xVal>
          <yVal>
            <numRef>
              <f>'SMD 08 dG act_concerted'!$Q$2:$Q$3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7.5"/>
          <min val="1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Savéant concerted barrier at -2.0 V (kcal/mol)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09 dG act_combined'!B1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655"/>
                  <y val="-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09 dG act_combined'!$D$2:$D$8</f>
              </numRef>
            </minus>
            <plus>
              <numRef>
                <f>'SMD 09 dG act_combined'!$D$2:$D$8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09 dG act_combined'!$A$2:$A$8</f>
            </numRef>
          </xVal>
          <yVal>
            <numRef>
              <f>'SMD 09 dG act_combined'!$B$2:$B$8</f>
            </numRef>
          </yVal>
          <smooth val="0"/>
        </ser>
        <ser>
          <idx val="1"/>
          <order val="1"/>
          <tx>
            <strRef>
              <f>'SMD 09 dG act_combined'!H1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794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09 dG act_combined'!$G$2:$G$6</f>
            </numRef>
          </xVal>
          <yVal>
            <numRef>
              <f>'SMD 09 dG act_combined'!$H$2:$H$6</f>
            </numRef>
          </yVal>
          <smooth val="0"/>
        </ser>
        <ser>
          <idx val="2"/>
          <order val="2"/>
          <tx>
            <strRef>
              <f>'SMD 09 dG act_combined'!L1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09 dG act_combined'!$N$2:$N$3</f>
              </numRef>
            </minus>
            <plus>
              <numRef>
                <f>'SMD 09 dG act_combined'!$N$2:$N$3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09 dG act_combined'!$K$2:$K$3</f>
            </numRef>
          </xVal>
          <yVal>
            <numRef>
              <f>'SMD 09 dG act_combined'!$L$2:$L$3</f>
            </numRef>
          </yVal>
          <smooth val="0"/>
        </ser>
        <ser>
          <idx val="3"/>
          <order val="3"/>
          <tx>
            <strRef>
              <f>'SMD 09 dG act_combined'!Q1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09 dG act_combined'!$P$2:$P$3</f>
            </numRef>
          </xVal>
          <yVal>
            <numRef>
              <f>'SMD 09 dG act_combined'!$Q$2:$Q$3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7.5"/>
          <min val="1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combined stepwise + concerted at -2.0 V (kcal/mol)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10 omega_dSCF'!B1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655"/>
                  <y val="0.048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10 omega_dSCF'!$D$2:$D$8</f>
              </numRef>
            </minus>
            <plus>
              <numRef>
                <f>'SMD 10 omega_dSCF'!$D$2:$D$8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10 omega_dSCF'!$A$2:$A$8</f>
            </numRef>
          </xVal>
          <yVal>
            <numRef>
              <f>'SMD 10 omega_dSCF'!$B$2:$B$8</f>
            </numRef>
          </yVal>
          <smooth val="0"/>
        </ser>
        <ser>
          <idx val="1"/>
          <order val="1"/>
          <tx>
            <strRef>
              <f>'SMD 10 omega_dSCF'!H1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10 omega_dSCF'!$G$2:$G$6</f>
            </numRef>
          </xVal>
          <yVal>
            <numRef>
              <f>'SMD 10 omega_dSCF'!$H$2:$H$6</f>
            </numRef>
          </yVal>
          <smooth val="0"/>
        </ser>
        <ser>
          <idx val="2"/>
          <order val="2"/>
          <tx>
            <strRef>
              <f>'SMD 10 omega_dSCF'!L1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10 omega_dSCF'!$N$2:$N$3</f>
              </numRef>
            </minus>
            <plus>
              <numRef>
                <f>'SMD 10 omega_dSCF'!$N$2:$N$3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10 omega_dSCF'!$K$2:$K$3</f>
            </numRef>
          </xVal>
          <yVal>
            <numRef>
              <f>'SMD 10 omega_dSCF'!$L$2:$L$3</f>
            </numRef>
          </yVal>
          <smooth val="0"/>
        </ser>
        <ser>
          <idx val="3"/>
          <order val="3"/>
          <tx>
            <strRef>
              <f>'SMD 10 omega_dSCF'!Q1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10 omega_dSCF'!$P$2:$P$3</f>
            </numRef>
          </xVal>
          <yVal>
            <numRef>
              <f>'SMD 10 omega_dSCF'!$Q$2:$Q$3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2.5"/>
          <min val="1.25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electrophilicity index (ΔSCF) (eV)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2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11 LUMO'!B1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-0.119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11 LUMO'!$D$2:$D$8</f>
              </numRef>
            </minus>
            <plus>
              <numRef>
                <f>'SMD 11 LUMO'!$D$2:$D$8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11 LUMO'!$A$2:$A$8</f>
            </numRef>
          </xVal>
          <yVal>
            <numRef>
              <f>'SMD 11 LUMO'!$B$2:$B$8</f>
            </numRef>
          </yVal>
          <smooth val="0"/>
        </ser>
        <ser>
          <idx val="1"/>
          <order val="1"/>
          <tx>
            <strRef>
              <f>'SMD 11 LUMO'!H1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11 LUMO'!$G$2:$G$6</f>
            </numRef>
          </xVal>
          <yVal>
            <numRef>
              <f>'SMD 11 LUMO'!$H$2:$H$6</f>
            </numRef>
          </yVal>
          <smooth val="0"/>
        </ser>
        <ser>
          <idx val="2"/>
          <order val="2"/>
          <tx>
            <strRef>
              <f>'SMD 11 LUMO'!L1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11 LUMO'!$N$2:$N$3</f>
              </numRef>
            </minus>
            <plus>
              <numRef>
                <f>'SMD 11 LUMO'!$N$2:$N$3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11 LUMO'!$K$2:$K$3</f>
            </numRef>
          </xVal>
          <yVal>
            <numRef>
              <f>'SMD 11 LUMO'!$L$2:$L$3</f>
            </numRef>
          </yVal>
          <smooth val="0"/>
        </ser>
        <ser>
          <idx val="3"/>
          <order val="3"/>
          <tx>
            <strRef>
              <f>'SMD 11 LUMO'!Q1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11 LUMO'!$P$2:$P$3</f>
            </numRef>
          </xVal>
          <yVal>
            <numRef>
              <f>'SMD 11 LUMO'!$Q$2:$Q$3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5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ArX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12 dG 1e'!B1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59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12 dG 1e'!$D$2:$D$8</f>
              </numRef>
            </minus>
            <plus>
              <numRef>
                <f>'SMD 12 dG 1e'!$D$2:$D$8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12 dG 1e'!$A$2:$A$8</f>
            </numRef>
          </xVal>
          <yVal>
            <numRef>
              <f>'SMD 12 dG 1e'!$B$2:$B$8</f>
            </numRef>
          </yVal>
          <smooth val="0"/>
        </ser>
        <ser>
          <idx val="1"/>
          <order val="1"/>
          <tx>
            <strRef>
              <f>'SMD 12 dG 1e'!H1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0.0296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12 dG 1e'!$G$2:$G$6</f>
            </numRef>
          </xVal>
          <yVal>
            <numRef>
              <f>'SMD 12 dG 1e'!$H$2:$H$6</f>
            </numRef>
          </yVal>
          <smooth val="0"/>
        </ser>
        <ser>
          <idx val="2"/>
          <order val="2"/>
          <tx>
            <strRef>
              <f>'SMD 12 dG 1e'!L1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175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12 dG 1e'!$N$2:$N$3</f>
              </numRef>
            </minus>
            <plus>
              <numRef>
                <f>'SMD 12 dG 1e'!$N$2:$N$3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12 dG 1e'!$K$2:$K$3</f>
            </numRef>
          </xVal>
          <yVal>
            <numRef>
              <f>'SMD 12 dG 1e'!$L$2:$L$3</f>
            </numRef>
          </yVal>
          <smooth val="0"/>
        </ser>
        <ser>
          <idx val="3"/>
          <order val="3"/>
          <tx>
            <strRef>
              <f>'SMD 12 dG 1e'!Q1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12 dG 1e'!$P$2:$P$3</f>
            </numRef>
          </xVal>
          <yVal>
            <numRef>
              <f>'SMD 12 dG 1e'!$Q$2:$Q$3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58"/>
          <min val="-68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2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13 BDE'!B1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13 BDE'!$D$2:$D$8</f>
              </numRef>
            </minus>
            <plus>
              <numRef>
                <f>'SMD 13 BDE'!$D$2:$D$8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13 BDE'!$A$2:$A$8</f>
            </numRef>
          </xVal>
          <yVal>
            <numRef>
              <f>'SMD 13 BDE'!$B$2:$B$8</f>
            </numRef>
          </yVal>
          <smooth val="0"/>
        </ser>
        <ser>
          <idx val="1"/>
          <order val="1"/>
          <tx>
            <strRef>
              <f>'SMD 13 BDE'!H1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13 BDE'!$G$2:$G$6</f>
            </numRef>
          </xVal>
          <yVal>
            <numRef>
              <f>'SMD 13 BDE'!$H$2:$H$6</f>
            </numRef>
          </yVal>
          <smooth val="0"/>
        </ser>
        <ser>
          <idx val="2"/>
          <order val="2"/>
          <tx>
            <strRef>
              <f>'SMD 13 BDE'!L1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13 BDE'!$N$2:$N$3</f>
              </numRef>
            </minus>
            <plus>
              <numRef>
                <f>'SMD 13 BDE'!$N$2:$N$3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13 BDE'!$K$2:$K$3</f>
            </numRef>
          </xVal>
          <yVal>
            <numRef>
              <f>'SMD 13 BDE'!$L$2:$L$3</f>
            </numRef>
          </yVal>
          <smooth val="0"/>
        </ser>
        <ser>
          <idx val="3"/>
          <order val="3"/>
          <tx>
            <strRef>
              <f>'SMD 13 BDE'!Q1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13 BDE'!$P$2:$P$3</f>
            </numRef>
          </xVal>
          <yVal>
            <numRef>
              <f>'SMD 13 BDE'!$Q$2:$Q$3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0"/>
          <min val="6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weakest C–X bond enthalpy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14 fplus_CX'!B1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1"/>
                  <y val="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14 fplus_CX'!$D$2:$D$8</f>
              </numRef>
            </minus>
            <plus>
              <numRef>
                <f>'SMD 14 fplus_CX'!$D$2:$D$8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14 fplus_CX'!$A$2:$A$8</f>
            </numRef>
          </xVal>
          <yVal>
            <numRef>
              <f>'SMD 14 fplus_CX'!$B$2:$B$8</f>
            </numRef>
          </yVal>
          <smooth val="0"/>
        </ser>
        <ser>
          <idx val="1"/>
          <order val="1"/>
          <tx>
            <strRef>
              <f>'SMD 14 fplus_CX'!H1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0"/>
                  <y val="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14 fplus_CX'!$G$2:$G$6</f>
            </numRef>
          </xVal>
          <yVal>
            <numRef>
              <f>'SMD 14 fplus_CX'!$H$2:$H$6</f>
            </numRef>
          </yVal>
          <smooth val="0"/>
        </ser>
        <ser>
          <idx val="2"/>
          <order val="2"/>
          <tx>
            <strRef>
              <f>'SMD 14 fplus_CX'!L1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14 fplus_CX'!$N$2:$N$3</f>
              </numRef>
            </minus>
            <plus>
              <numRef>
                <f>'SMD 14 fplus_CX'!$N$2:$N$3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14 fplus_CX'!$K$2:$K$3</f>
            </numRef>
          </xVal>
          <yVal>
            <numRef>
              <f>'SMD 14 fplus_CX'!$L$2:$L$3</f>
            </numRef>
          </yVal>
          <smooth val="0"/>
        </ser>
        <ser>
          <idx val="3"/>
          <order val="3"/>
          <tx>
            <strRef>
              <f>'SMD 14 fplus_CX'!Q1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14 fplus_CX'!$P$2:$P$3</f>
            </numRef>
          </xVal>
          <yVal>
            <numRef>
              <f>'SMD 14 fplus_CX'!$Q$2:$Q$3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25"/>
          <min val="0.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Fukui f+ on a C–X bond</a:t>
                </a:r>
              </a:p>
            </rich>
          </tx>
          <overlay val="0"/>
        </title>
        <numFmt formatCode="0.0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0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15 dG ET_any'!B1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278"/>
                  <y val="-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15 dG ET_any'!$D$2:$D$8</f>
              </numRef>
            </minus>
            <plus>
              <numRef>
                <f>'SMD 15 dG ET_any'!$D$2:$D$8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15 dG ET_any'!$A$2:$A$8</f>
            </numRef>
          </xVal>
          <yVal>
            <numRef>
              <f>'SMD 15 dG ET_any'!$B$2:$B$8</f>
            </numRef>
          </yVal>
          <smooth val="0"/>
        </ser>
        <ser>
          <idx val="1"/>
          <order val="1"/>
          <tx>
            <strRef>
              <f>'SMD 15 dG ET_any'!H1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476"/>
                  <y val="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381"/>
                  <y val="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15 dG ET_any'!$G$2:$G$6</f>
            </numRef>
          </xVal>
          <yVal>
            <numRef>
              <f>'SMD 15 dG ET_any'!$H$2:$H$6</f>
            </numRef>
          </yVal>
          <smooth val="0"/>
        </ser>
        <ser>
          <idx val="2"/>
          <order val="2"/>
          <tx>
            <strRef>
              <f>'SMD 15 dG ET_any'!L1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15 dG ET_any'!$N$2:$N$3</f>
              </numRef>
            </minus>
            <plus>
              <numRef>
                <f>'SMD 15 dG ET_any'!$N$2:$N$3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15 dG ET_any'!$K$2:$K$3</f>
            </numRef>
          </xVal>
          <yVal>
            <numRef>
              <f>'SMD 15 dG ET_any'!$L$2:$L$3</f>
            </numRef>
          </yVal>
          <smooth val="0"/>
        </ser>
        <ser>
          <idx val="3"/>
          <order val="3"/>
          <tx>
            <strRef>
              <f>'SMD 15 dG ET_any'!Q1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15 dG ET_any'!$P$2:$P$3</f>
            </numRef>
          </xVal>
          <yVal>
            <numRef>
              <f>'SMD 15 dG ET_any'!$Q$2:$Q$3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30"/>
          <min val="-8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16 dG frag_any'!B1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-0.0476"/>
                  <y val="-0.115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0.0"/>
                  <y val="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16 dG frag_any'!$D$2:$D$8</f>
              </numRef>
            </minus>
            <plus>
              <numRef>
                <f>'SMD 16 dG frag_any'!$D$2:$D$8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16 dG frag_any'!$A$2:$A$8</f>
            </numRef>
          </xVal>
          <yVal>
            <numRef>
              <f>'SMD 16 dG frag_any'!$B$2:$B$8</f>
            </numRef>
          </yVal>
          <smooth val="0"/>
        </ser>
        <ser>
          <idx val="1"/>
          <order val="1"/>
          <tx>
            <strRef>
              <f>'SMD 16 dG frag_any'!H1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16 dG frag_any'!$G$2:$G$6</f>
            </numRef>
          </xVal>
          <yVal>
            <numRef>
              <f>'SMD 16 dG frag_any'!$H$2:$H$6</f>
            </numRef>
          </yVal>
          <smooth val="0"/>
        </ser>
        <ser>
          <idx val="2"/>
          <order val="2"/>
          <tx>
            <strRef>
              <f>'SMD 16 dG frag_any'!L1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16 dG frag_any'!$N$2:$N$3</f>
              </numRef>
            </minus>
            <plus>
              <numRef>
                <f>'SMD 16 dG frag_any'!$N$2:$N$3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16 dG frag_any'!$K$2:$K$3</f>
            </numRef>
          </xVal>
          <yVal>
            <numRef>
              <f>'SMD 16 dG frag_any'!$L$2:$L$3</f>
            </numRef>
          </yVal>
          <smooth val="0"/>
        </ser>
        <ser>
          <idx val="3"/>
          <order val="3"/>
          <tx>
            <strRef>
              <f>'SMD 16 dG frag_any'!Q1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16 dG frag_any'!$P$2:$P$3</f>
            </numRef>
          </xVal>
          <yVal>
            <numRef>
              <f>'SMD 16 dG frag_any'!$Q$2:$Q$3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-3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17 dr_CX_RA'!B1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381"/>
                  <y val="-0.03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1"/>
                  <y val="-0.0667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layout>
                <manualLayout>
                  <x val="-0.0119"/>
                  <y val="-0.0579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17 dr_CX_RA'!$D$2:$D$8</f>
              </numRef>
            </minus>
            <plus>
              <numRef>
                <f>'SMD 17 dr_CX_RA'!$D$2:$D$8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17 dr_CX_RA'!$A$2:$A$8</f>
            </numRef>
          </xVal>
          <yVal>
            <numRef>
              <f>'SMD 17 dr_CX_RA'!$B$2:$B$8</f>
            </numRef>
          </yVal>
          <smooth val="0"/>
        </ser>
        <ser>
          <idx val="1"/>
          <order val="1"/>
          <tx>
            <strRef>
              <f>'SMD 17 dr_CX_RA'!H1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layout>
                <manualLayout>
                  <x val="0.119"/>
                  <y val="-0.0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278"/>
                  <y val="0.083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17 dr_CX_RA'!$G$2:$G$6</f>
            </numRef>
          </xVal>
          <yVal>
            <numRef>
              <f>'SMD 17 dr_CX_RA'!$H$2:$H$6</f>
            </numRef>
          </yVal>
          <smooth val="0"/>
        </ser>
        <ser>
          <idx val="2"/>
          <order val="2"/>
          <tx>
            <strRef>
              <f>'SMD 17 dr_CX_RA'!L1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04"/>
                  <y val="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17 dr_CX_RA'!$N$2:$N$3</f>
              </numRef>
            </minus>
            <plus>
              <numRef>
                <f>'SMD 17 dr_CX_RA'!$N$2:$N$3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17 dr_CX_RA'!$K$2:$K$3</f>
            </numRef>
          </xVal>
          <yVal>
            <numRef>
              <f>'SMD 17 dr_CX_RA'!$L$2:$L$3</f>
            </numRef>
          </yVal>
          <smooth val="0"/>
        </ser>
        <ser>
          <idx val="3"/>
          <order val="3"/>
          <tx>
            <strRef>
              <f>'SMD 17 dr_CX_RA'!Q1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17 dr_CX_RA'!$P$2:$P$3</f>
            </numRef>
          </xVal>
          <yVal>
            <numRef>
              <f>'SMD 17 dr_CX_RA'!$Q$2:$Q$3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4"/>
          <min val="-1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largest C–X elongation in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(Å)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18 dG RA_2e_any'!B1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18 dG RA_2e_any'!$D$2:$D$8</f>
              </numRef>
            </minus>
            <plus>
              <numRef>
                <f>'SMD 18 dG RA_2e_any'!$D$2:$D$8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18 dG RA_2e_any'!$A$2:$A$8</f>
            </numRef>
          </xVal>
          <yVal>
            <numRef>
              <f>'SMD 18 dG RA_2e_any'!$B$2:$B$8</f>
            </numRef>
          </yVal>
          <smooth val="0"/>
        </ser>
        <ser>
          <idx val="1"/>
          <order val="1"/>
          <tx>
            <strRef>
              <f>'SMD 18 dG RA_2e_any'!H1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"/>
                  <y val="-0.0111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18 dG RA_2e_any'!$G$2:$G$6</f>
            </numRef>
          </xVal>
          <yVal>
            <numRef>
              <f>'SMD 18 dG RA_2e_any'!$H$2:$H$6</f>
            </numRef>
          </yVal>
          <smooth val="0"/>
        </ser>
        <ser>
          <idx val="2"/>
          <order val="2"/>
          <tx>
            <strRef>
              <f>'SMD 18 dG RA_2e_any'!L1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099"/>
                  <y val="-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18 dG RA_2e_any'!$N$2:$N$3</f>
              </numRef>
            </minus>
            <plus>
              <numRef>
                <f>'SMD 18 dG RA_2e_any'!$N$2:$N$3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18 dG RA_2e_any'!$K$2:$K$3</f>
            </numRef>
          </xVal>
          <yVal>
            <numRef>
              <f>'SMD 18 dG RA_2e_any'!$L$2:$L$3</f>
            </numRef>
          </yVal>
          <smooth val="0"/>
        </ser>
        <ser>
          <idx val="3"/>
          <order val="3"/>
          <tx>
            <strRef>
              <f>'SMD 18 dG RA_2e_any'!Q1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18 dG RA_2e_any'!$P$2:$P$3</f>
            </numRef>
          </xVal>
          <yVal>
            <numRef>
              <f>'SMD 18 dG RA_2e_any'!$Q$2:$Q$3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-80"/>
          <min val="-13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ΔG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e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→ Ar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+ 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(kcal/mol)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10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autoTitleDeleted val="1"/>
    <plotArea>
      <scatterChart>
        <scatterStyle val="lineMarker"/>
        <ser>
          <idx val="0"/>
          <order val="0"/>
          <tx>
            <strRef>
              <f>'SMD 19 LUMO_RA'!B1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MonoBr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1,3-DiBr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-0.0099"/>
                  <y val="0.0222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1,3,5-TriBr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5"/>
              <layout>
                <manualLayout>
                  <x val="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6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HexaBr</a:t>
                    </a:r>
                  </a:p>
                </rich>
              </tx>
              <dLblPos val="r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19 LUMO_RA'!$D$2:$D$8</f>
              </numRef>
            </minus>
            <plus>
              <numRef>
                <f>'SMD 19 LUMO_RA'!$D$2:$D$8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19 LUMO_RA'!$A$2:$A$8</f>
            </numRef>
          </xVal>
          <yVal>
            <numRef>
              <f>'SMD 19 LUMO_RA'!$B$2:$B$8</f>
            </numRef>
          </yVal>
          <smooth val="0"/>
        </ser>
        <ser>
          <idx val="1"/>
          <order val="1"/>
          <tx>
            <strRef>
              <f>'SMD 19 LUMO_RA'!H1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noFill xmlns:a="http://schemas.openxmlformats.org/drawingml/2006/main"/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marker>
          <dLbls>
            <dLbl>
              <idx val="0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HexaCl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-0.0"/>
                  <y val="0.096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PentaCl</a:t>
                    </a:r>
                  </a:p>
                </rich>
              </tx>
              <dLblPos val="b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1,2,4,5-TetraCl</a:t>
                    </a:r>
                  </a:p>
                </rich>
              </tx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1,2-DiCl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1,4-DiCl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xVal>
            <numRef>
              <f>'SMD 19 LUMO_RA'!$G$2:$G$6</f>
            </numRef>
          </xVal>
          <yVal>
            <numRef>
              <f>'SMD 19 LUMO_RA'!$H$2:$H$6</f>
            </numRef>
          </yVal>
          <smooth val="0"/>
        </ser>
        <ser>
          <idx val="2"/>
          <order val="2"/>
          <tx>
            <strRef>
              <f>'SMD 19 LUMO_RA'!L1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A6A6A6"/>
              </a:solidFill>
              <a:ln xmlns:a="http://schemas.openxmlformats.org/drawingml/2006/main" w="9525">
                <a:solidFill>
                  <a:srgbClr val="A6A6A6"/>
                </a:solidFill>
                <a:prstDash val="solid"/>
              </a:ln>
            </spPr>
          </marker>
          <dLbls>
            <dLbl>
              <idx val="0"/>
              <layout>
                <manualLayout>
                  <x val="-0.0004"/>
                  <y val="-0.013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BDE-47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layout>
                <manualLayout>
                  <x val="0.0"/>
                  <y val="-0.0384"/>
                </manualLayout>
              </layout>
              <tx>
                <rich>
                  <a:bodyPr xmlns:a="http://schemas.openxmlformats.org/drawingml/2006/main"/>
                  <a:p xmlns:a="http://schemas.openxmlformats.org/drawingml/2006/main">
                    <a:pPr>
                      <a:defRPr lang="en-US" sz="900" b="0">
                        <a:solidFill>
                          <a:srgbClr val="000000"/>
                        </a:solidFill>
                        <a:latin typeface="Cambria"/>
                      </a:defRPr>
                    </a:pPr>
                    <a:r>
                      <a:rPr lang="en-US" sz="900" b="0">
                        <a:solidFill>
                          <a:srgbClr val="000000"/>
                        </a:solidFill>
                        <a:latin typeface="Cambria"/>
                      </a:rPr>
                      <a:t>BDE-99</a:t>
                    </a:r>
                  </a:p>
                </rich>
              </tx>
              <dLblPos val="l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</a:ln>
            </spPr>
            <dLblPos val="r"/>
            <showLegendKey val="0"/>
            <showVal val="1"/>
            <showCatName val="0"/>
            <showSerName val="0"/>
            <showPercent val="0"/>
            <showBubbleSize val="0"/>
            <extLst>
              <ext uri="{CE6537A1-D6FC-4f65-9D91-7224C49458BB}">
                <c15:showLeaderLines xmlns:c15="http://schemas.microsoft.com/office/drawing/2012/chart" val="1"/>
                <c15:leaderLines xmlns:c15="http://schemas.microsoft.com/office/drawing/2012/chart">
                  <spPr>
                    <a:ln xmlns:a="http://schemas.openxmlformats.org/drawingml/2006/main" w="9525">
                      <a:solidFill>
                        <a:srgbClr val="A6A6A6"/>
                      </a:solidFill>
                    </a:ln>
                  </spPr>
                </c15:leaderLines>
              </ext>
            </extLst>
          </dLbls>
          <errBars>
            <errDir val="y"/>
            <errBarType val="both"/>
            <errValType val="cust"/>
            <noEndCap val="0"/>
            <minus>
              <numRef>
                <f>'SMD 19 LUMO_RA'!$N$2:$N$3</f>
              </numRef>
            </minus>
            <plus>
              <numRef>
                <f>'SMD 19 LUMO_RA'!$N$2:$N$3</f>
              </numRef>
            </plus>
            <spPr>
              <a:ln xmlns:a="http://schemas.openxmlformats.org/drawingml/2006/main" w="9525">
                <a:solidFill>
                  <a:srgbClr val="000000"/>
                </a:solidFill>
                <a:prstDash val="solid"/>
              </a:ln>
            </spPr>
          </errBars>
          <xVal>
            <numRef>
              <f>'SMD 19 LUMO_RA'!$K$2:$K$3</f>
            </numRef>
          </xVal>
          <yVal>
            <numRef>
              <f>'SMD 19 LUMO_RA'!$L$2:$L$3</f>
            </numRef>
          </yVal>
          <smooth val="0"/>
        </ser>
        <ser>
          <idx val="3"/>
          <order val="3"/>
          <tx>
            <strRef>
              <f>'SMD 19 LUMO_RA'!Q1</f>
            </strRef>
          </tx>
          <spPr>
            <a:ln xmlns:a="http://schemas.openxmlformats.org/drawingml/2006/main" w="19050">
              <a:solidFill>
                <a:srgbClr val="000000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'SMD 19 LUMO_RA'!$P$2:$P$3</f>
            </numRef>
          </xVal>
          <yVal>
            <numRef>
              <f>'SMD 19 LUMO_RA'!$Q$2:$Q$3</f>
            </numRef>
          </yVal>
          <smooth val="0"/>
        </ser>
        <axId val="10"/>
        <axId val="20"/>
      </scatterChart>
      <valAx>
        <axId val="10"/>
        <scaling>
          <orientation val="minMax"/>
          <max val="0.5"/>
          <min val="-2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LUMO of the radical anion ArX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•−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(eV)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20"/>
        <crosses val="min"/>
        <majorUnit val="0.5"/>
      </valAx>
      <valAx>
        <axId val="20"/>
        <scaling>
          <orientation val="minMax"/>
          <max val="8"/>
          <min val="-8"/>
        </scaling>
        <delete val="0"/>
        <axPos val="l"/>
        <title>
          <tx>
            <rich>
              <a:bodyPr xmlns:a="http://schemas.openxmlformats.org/drawingml/2006/main" rot="-5400000" vert="horz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Cambria"/>
                  </a:defRPr>
                </a:pP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ln k</a:t>
                </a:r>
                <a:r>
                  <a:rPr sz="1000" b="0" baseline="-25000">
                    <a:solidFill>
                      <a:srgbClr val="000000"/>
                    </a:solidFill>
                    <a:latin typeface="Cambria"/>
                  </a:rPr>
                  <a:t>obs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 xml:space="preserve"> (h</a:t>
                </a:r>
                <a:r>
                  <a:rPr sz="1000" b="0" baseline="30000">
                    <a:solidFill>
                      <a:srgbClr val="000000"/>
                    </a:solidFill>
                    <a:latin typeface="Cambria"/>
                  </a:rPr>
                  <a:t>−1</a:t>
                </a:r>
                <a:r>
                  <a:rPr sz="1000" b="0">
                    <a:solidFill>
                      <a:srgbClr val="000000"/>
                    </a:solidFill>
                    <a:latin typeface="Cambria"/>
                  </a:rPr>
                  <a:t>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low"/>
        <spPr>
          <a:ln xmlns:a="http://schemas.openxmlformats.org/drawingml/2006/main" w="12700">
            <a:solidFill>
              <a:srgbClr val="000000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1000" b="0">
                <a:solidFill>
                  <a:srgbClr val="000000"/>
                </a:solidFill>
                <a:latin typeface="Cambria"/>
              </a:defRPr>
            </a:pPr>
            <a:r>
              <a:t/>
            </a:r>
            <a:endParaRPr sz="1000" b="0">
              <a:solidFill>
                <a:srgbClr val="000000"/>
              </a:solidFill>
              <a:latin typeface="Cambria"/>
            </a:endParaRPr>
          </a:p>
        </txPr>
        <crossAx val="10"/>
        <crosses val="min"/>
        <majorUnit val="2"/>
      </valAx>
      <spPr>
        <a:solidFill xmlns:a="http://schemas.openxmlformats.org/drawingml/2006/main">
          <a:srgbClr val="FFFFFF"/>
        </a:solidFill>
        <a:ln xmlns:a="http://schemas.openxmlformats.org/drawingml/2006/main" w="12700">
          <a:solidFill>
            <a:srgbClr val="000000"/>
          </a:solidFill>
          <a:prstDash val="solid"/>
        </a:ln>
      </spPr>
    </plotArea>
    <legend>
      <legendPos val="r"/>
      <legendEntry>
        <idx val="3"/>
        <delete val="1"/>
      </legendEntry>
      <layout>
        <manualLayout>
          <xMode val="edge"/>
          <yMode val="edge"/>
          <wMode val="factor"/>
          <hMode val="factor"/>
          <x val="0.43"/>
          <y val="0.06"/>
        </manualLayout>
      </layout>
      <overlay val="1"/>
      <txPr>
        <a:bodyPr xmlns:a="http://schemas.openxmlformats.org/drawingml/2006/main"/>
        <a:p xmlns:a="http://schemas.openxmlformats.org/drawingml/2006/main">
          <a:pPr>
            <a:defRPr sz="1000" b="0">
              <a:solidFill>
                <a:srgbClr val="000000"/>
              </a:solidFill>
              <a:latin typeface="Cambria"/>
            </a:defRPr>
          </a:pPr>
          <a:r>
            <a:t/>
          </a:r>
          <a:endParaRPr sz="1000" b="0">
            <a:solidFill>
              <a:srgbClr val="000000"/>
            </a:solidFill>
            <a:latin typeface="Cambria"/>
          </a:endParaRP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6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7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8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9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0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1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2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3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4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5.xml><?xml version="1.0" encoding="utf-8"?>
<wsDr xmlns="http://schemas.openxmlformats.org/drawingml/2006/spreadsheetDrawing">
  <oneCellAnchor>
    <from>
      <col>18</col>
      <colOff>0</colOff>
      <row>1</row>
      <rowOff>0</rowOff>
    </from>
    <ext cx="3200400" cy="27432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as 01 dG rad_red'!A1" TargetMode="External" Id="rId1"/><Relationship Type="http://schemas.openxmlformats.org/officeDocument/2006/relationships/hyperlink" Target="#'gas 02 dG RA_2e_any'!A1" TargetMode="External" Id="rId2"/><Relationship Type="http://schemas.openxmlformats.org/officeDocument/2006/relationships/hyperlink" Target="#'gas 03 dG frag_any'!A1" TargetMode="External" Id="rId3"/><Relationship Type="http://schemas.openxmlformats.org/officeDocument/2006/relationships/hyperlink" Target="#'gas 04 dG 2e_carbanion'!A1" TargetMode="External" Id="rId4"/><Relationship Type="http://schemas.openxmlformats.org/officeDocument/2006/relationships/hyperlink" Target="#'gas 05 dG ET_any'!A1" TargetMode="External" Id="rId5"/><Relationship Type="http://schemas.openxmlformats.org/officeDocument/2006/relationships/hyperlink" Target="#'gas 06 n_X'!A1" TargetMode="External" Id="rId6"/><Relationship Type="http://schemas.openxmlformats.org/officeDocument/2006/relationships/hyperlink" Target="#'gas 07 wiberg_CX_parent'!A1" TargetMode="External" Id="rId7"/><Relationship Type="http://schemas.openxmlformats.org/officeDocument/2006/relationships/hyperlink" Target="#'gas 08 VEA'!A1" TargetMode="External" Id="rId8"/><Relationship Type="http://schemas.openxmlformats.org/officeDocument/2006/relationships/hyperlink" Target="#'gas 09 dG 2e_HDH'!A1" TargetMode="External" Id="rId9"/><Relationship Type="http://schemas.openxmlformats.org/officeDocument/2006/relationships/hyperlink" Target="#'gas 10 omega_dSCF'!A1" TargetMode="External" Id="rId10"/><Relationship Type="http://schemas.openxmlformats.org/officeDocument/2006/relationships/hyperlink" Target="#'gas 11 LUMO'!A1" TargetMode="External" Id="rId11"/><Relationship Type="http://schemas.openxmlformats.org/officeDocument/2006/relationships/hyperlink" Target="#'gas 12 dG 1e'!A1" TargetMode="External" Id="rId12"/><Relationship Type="http://schemas.openxmlformats.org/officeDocument/2006/relationships/hyperlink" Target="#'gas 13 BDE'!A1" TargetMode="External" Id="rId13"/><Relationship Type="http://schemas.openxmlformats.org/officeDocument/2006/relationships/hyperlink" Target="#'gas 14 LUMO_RA'!A1" TargetMode="External" Id="rId14"/><Relationship Type="http://schemas.openxmlformats.org/officeDocument/2006/relationships/hyperlink" Target="#'gas 15 dr_CX_RA'!A1" TargetMode="External" Id="rId15"/><Relationship Type="http://schemas.openxmlformats.org/officeDocument/2006/relationships/hyperlink" Target="#'gas 16 fplus_CX'!A1" TargetMode="External" Id="rId16"/><Relationship Type="http://schemas.openxmlformats.org/officeDocument/2006/relationships/hyperlink" Target="#'SMD 01 dG rad_red'!A1" TargetMode="External" Id="rId17"/><Relationship Type="http://schemas.openxmlformats.org/officeDocument/2006/relationships/hyperlink" Target="#'SMD 02 wiberg_CX_parent'!A1" TargetMode="External" Id="rId18"/><Relationship Type="http://schemas.openxmlformats.org/officeDocument/2006/relationships/hyperlink" Target="#'SMD 03 n_X'!A1" TargetMode="External" Id="rId19"/><Relationship Type="http://schemas.openxmlformats.org/officeDocument/2006/relationships/hyperlink" Target="#'SMD 04 dG 2e_carbanion'!A1" TargetMode="External" Id="rId20"/><Relationship Type="http://schemas.openxmlformats.org/officeDocument/2006/relationships/hyperlink" Target="#'SMD 05 dG0_act_concerted'!A1" TargetMode="External" Id="rId21"/><Relationship Type="http://schemas.openxmlformats.org/officeDocument/2006/relationships/hyperlink" Target="#'SMD 06 VEA'!A1" TargetMode="External" Id="rId22"/><Relationship Type="http://schemas.openxmlformats.org/officeDocument/2006/relationships/hyperlink" Target="#'SMD 07 dG 2e_HDH'!A1" TargetMode="External" Id="rId23"/><Relationship Type="http://schemas.openxmlformats.org/officeDocument/2006/relationships/hyperlink" Target="#'SMD 08 dG act_concerted'!A1" TargetMode="External" Id="rId24"/><Relationship Type="http://schemas.openxmlformats.org/officeDocument/2006/relationships/hyperlink" Target="#'SMD 09 dG act_combined'!A1" TargetMode="External" Id="rId25"/><Relationship Type="http://schemas.openxmlformats.org/officeDocument/2006/relationships/hyperlink" Target="#'SMD 10 omega_dSCF'!A1" TargetMode="External" Id="rId26"/><Relationship Type="http://schemas.openxmlformats.org/officeDocument/2006/relationships/hyperlink" Target="#'SMD 11 LUMO'!A1" TargetMode="External" Id="rId27"/><Relationship Type="http://schemas.openxmlformats.org/officeDocument/2006/relationships/hyperlink" Target="#'SMD 12 dG 1e'!A1" TargetMode="External" Id="rId28"/><Relationship Type="http://schemas.openxmlformats.org/officeDocument/2006/relationships/hyperlink" Target="#'SMD 13 BDE'!A1" TargetMode="External" Id="rId29"/><Relationship Type="http://schemas.openxmlformats.org/officeDocument/2006/relationships/hyperlink" Target="#'SMD 14 fplus_CX'!A1" TargetMode="External" Id="rId30"/><Relationship Type="http://schemas.openxmlformats.org/officeDocument/2006/relationships/hyperlink" Target="#'SMD 15 dG ET_any'!A1" TargetMode="External" Id="rId31"/><Relationship Type="http://schemas.openxmlformats.org/officeDocument/2006/relationships/hyperlink" Target="#'SMD 16 dG frag_any'!A1" TargetMode="External" Id="rId32"/><Relationship Type="http://schemas.openxmlformats.org/officeDocument/2006/relationships/hyperlink" Target="#'SMD 17 dr_CX_RA'!A1" TargetMode="External" Id="rId33"/><Relationship Type="http://schemas.openxmlformats.org/officeDocument/2006/relationships/hyperlink" Target="#'SMD 18 dG RA_2e_any'!A1" TargetMode="External" Id="rId34"/><Relationship Type="http://schemas.openxmlformats.org/officeDocument/2006/relationships/hyperlink" Target="#'SMD 19 LUMO_RA'!A1" TargetMode="External" Id="rId35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24" customWidth="1" min="3" max="3"/>
    <col width="44" customWidth="1" min="4" max="4"/>
    <col width="34" customWidth="1" min="5" max="5"/>
    <col width="5" customWidth="1" min="6" max="6"/>
    <col width="10" customWidth="1" min="7" max="7"/>
    <col width="11" customWidth="1" min="8" max="8"/>
    <col width="8" customWidth="1" min="9" max="9"/>
    <col width="9" customWidth="1" min="10" max="10"/>
    <col width="10" customWidth="1" min="11" max="11"/>
    <col width="9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8" customWidth="1" min="18" max="18"/>
    <col width="6" customWidth="1" min="19" max="19"/>
  </cols>
  <sheetData>
    <row r="1">
      <c r="A1" s="1" t="inlineStr">
        <is>
          <t>M06-2X/6-311++G(d) QSAR: ln k_obs vs computed descriptors</t>
        </is>
      </c>
    </row>
    <row r="2" ht="45" customHeight="1">
      <c r="A2" s="2" t="inlineStr">
        <is>
          <t>k_obs measured at −2.0 V vs SHE (uncompensated potential, without iR-drop compensation). Single-descriptor least-squares fits on the bromobenzenes (n = 7); the other compounds are predicted. R² and slope (live) link to the formula cells of each chart tab. Descriptors: most favourable site; *_any uses the lowest radical-anion energy whatever its state.</t>
        </is>
      </c>
    </row>
    <row r="4">
      <c r="A4" s="3" t="inlineStr">
        <is>
          <t>level</t>
        </is>
      </c>
      <c r="B4" s="3" t="inlineStr">
        <is>
          <t>rank</t>
        </is>
      </c>
      <c r="C4" s="3" t="inlineStr">
        <is>
          <t>chart tab</t>
        </is>
      </c>
      <c r="D4" s="3" t="inlineStr">
        <is>
          <t>descriptor</t>
        </is>
      </c>
      <c r="E4" s="3" t="inlineStr">
        <is>
          <t>key</t>
        </is>
      </c>
      <c r="F4" s="3" t="inlineStr">
        <is>
          <t>n</t>
        </is>
      </c>
      <c r="G4" s="3" t="inlineStr">
        <is>
          <t>R² (live)</t>
        </is>
      </c>
      <c r="H4" s="3" t="inlineStr">
        <is>
          <t>slope (live)</t>
        </is>
      </c>
      <c r="I4" s="3" t="inlineStr">
        <is>
          <t>R²</t>
        </is>
      </c>
      <c r="J4" s="3" t="inlineStr">
        <is>
          <t>slope</t>
        </is>
      </c>
      <c r="K4" s="3" t="inlineStr">
        <is>
          <t>intercept</t>
        </is>
      </c>
      <c r="L4" s="3" t="inlineStr">
        <is>
          <t>p</t>
        </is>
      </c>
      <c r="M4" s="3" t="inlineStr">
        <is>
          <t>RMSE</t>
        </is>
      </c>
      <c r="N4" s="3" t="inlineStr">
        <is>
          <t>LOO Q²</t>
        </is>
      </c>
      <c r="O4" s="3" t="inlineStr">
        <is>
          <t>pred RMSE (other groups)</t>
        </is>
      </c>
      <c r="P4" s="3" t="inlineStr">
        <is>
          <t>R² chlorobenzenes</t>
        </is>
      </c>
      <c r="Q4" s="3" t="inlineStr">
        <is>
          <t>R² halobenzenes</t>
        </is>
      </c>
      <c r="R4" s="3" t="inlineStr">
        <is>
          <t>R² all</t>
        </is>
      </c>
      <c r="S4" s="3" t="inlineStr">
        <is>
          <t>n all</t>
        </is>
      </c>
    </row>
    <row r="5">
      <c r="A5" t="inlineStr">
        <is>
          <t>gas</t>
        </is>
      </c>
      <c r="B5" t="n">
        <v>1</v>
      </c>
      <c r="C5" s="4" t="inlineStr">
        <is>
          <t>gas 01 dG rad_red</t>
        </is>
      </c>
      <c r="D5" t="inlineStr">
        <is>
          <t>ΔG Ar• + e⁻ → Ar⁻</t>
        </is>
      </c>
      <c r="E5" t="inlineStr">
        <is>
          <t>min_dG_rad_red_kcal</t>
        </is>
      </c>
      <c r="F5" t="n">
        <v>7</v>
      </c>
      <c r="G5" s="5">
        <f>'gas 01 dG rad_red'!Q7</f>
        <v/>
      </c>
      <c r="H5" s="5">
        <f>'gas 01 dG rad_red'!Q5</f>
        <v/>
      </c>
      <c r="I5" s="5" t="n">
        <v>0.9375</v>
      </c>
      <c r="J5" s="5" t="n">
        <v>-0.1867</v>
      </c>
      <c r="K5" s="5" t="n">
        <v>-10.1339</v>
      </c>
      <c r="L5" s="5" t="n">
        <v>0.0003</v>
      </c>
      <c r="M5" s="5" t="n">
        <v>0.7155</v>
      </c>
      <c r="N5" s="5" t="n">
        <v>0.8531</v>
      </c>
      <c r="O5" s="5" t="n">
        <v>2.831</v>
      </c>
      <c r="P5" s="5" t="n">
        <v>0.8079</v>
      </c>
      <c r="Q5" s="5" t="n">
        <v>0.772</v>
      </c>
      <c r="R5" s="5" t="n">
        <v>0.6864</v>
      </c>
      <c r="S5" t="n">
        <v>14</v>
      </c>
    </row>
    <row r="6">
      <c r="A6" t="inlineStr">
        <is>
          <t>gas</t>
        </is>
      </c>
      <c r="B6" t="n">
        <v>2</v>
      </c>
      <c r="C6" s="4" t="inlineStr">
        <is>
          <t>gas 02 dG RA_2e_any</t>
        </is>
      </c>
      <c r="D6" t="inlineStr">
        <is>
          <t>ΔG ArX•⁻ + e⁻ → Ar⁻ + X⁻</t>
        </is>
      </c>
      <c r="E6" t="inlineStr">
        <is>
          <t>min_dG_RA_2e_any_kcal</t>
        </is>
      </c>
      <c r="F6" t="n">
        <v>7</v>
      </c>
      <c r="G6" s="5">
        <f>'gas 02 dG RA_2e_any'!Q7</f>
        <v/>
      </c>
      <c r="H6" s="5">
        <f>'gas 02 dG RA_2e_any'!Q5</f>
        <v/>
      </c>
      <c r="I6" s="5" t="n">
        <v>0.9306</v>
      </c>
      <c r="J6" s="5" t="n">
        <v>-0.3432</v>
      </c>
      <c r="K6" s="5" t="n">
        <v>-13.9074</v>
      </c>
      <c r="L6" s="5" t="n">
        <v>0.0004</v>
      </c>
      <c r="M6" s="5" t="n">
        <v>0.7541</v>
      </c>
      <c r="N6" s="5" t="n">
        <v>0.8854</v>
      </c>
      <c r="O6" s="5" t="n">
        <v>4.085</v>
      </c>
      <c r="P6" s="5" t="n">
        <v>0.5895</v>
      </c>
      <c r="Q6" s="5" t="n">
        <v>0.5516</v>
      </c>
      <c r="R6" s="5" t="n">
        <v>0.4478</v>
      </c>
      <c r="S6" t="n">
        <v>14</v>
      </c>
    </row>
    <row r="7">
      <c r="A7" t="inlineStr">
        <is>
          <t>gas</t>
        </is>
      </c>
      <c r="B7" t="n">
        <v>3</v>
      </c>
      <c r="C7" s="4" t="inlineStr">
        <is>
          <t>gas 03 dG frag_any</t>
        </is>
      </c>
      <c r="D7" t="inlineStr">
        <is>
          <t>ΔG ArX•⁻ → Ar• + X⁻</t>
        </is>
      </c>
      <c r="E7" t="inlineStr">
        <is>
          <t>min_dG_frag_any_kcal</t>
        </is>
      </c>
      <c r="F7" t="n">
        <v>7</v>
      </c>
      <c r="G7" s="5">
        <f>'gas 03 dG frag_any'!Q7</f>
        <v/>
      </c>
      <c r="H7" s="5">
        <f>'gas 03 dG frag_any'!Q5</f>
        <v/>
      </c>
      <c r="I7" s="5" t="n">
        <v>0.9175</v>
      </c>
      <c r="J7" s="5" t="n">
        <v>0.3972</v>
      </c>
      <c r="K7" s="5" t="n">
        <v>-5.5115</v>
      </c>
      <c r="L7" s="5" t="n">
        <v>0.0007</v>
      </c>
      <c r="M7" s="5" t="n">
        <v>0.822</v>
      </c>
      <c r="N7" s="5" t="n">
        <v>0.7183</v>
      </c>
      <c r="O7" s="5" t="n">
        <v>1.927</v>
      </c>
      <c r="P7" s="5" t="n">
        <v>0.8488</v>
      </c>
      <c r="Q7" s="5" t="n">
        <v>0.8357</v>
      </c>
      <c r="R7" s="5" t="n">
        <v>0.8048</v>
      </c>
      <c r="S7" t="n">
        <v>14</v>
      </c>
    </row>
    <row r="8">
      <c r="A8" t="inlineStr">
        <is>
          <t>gas</t>
        </is>
      </c>
      <c r="B8" t="n">
        <v>4</v>
      </c>
      <c r="C8" s="4" t="inlineStr">
        <is>
          <t>gas 04 dG 2e_carbanion</t>
        </is>
      </c>
      <c r="D8" t="inlineStr">
        <is>
          <t>ΔG ArX + 2e⁻ → Ar⁻ + X⁻</t>
        </is>
      </c>
      <c r="E8" t="inlineStr">
        <is>
          <t>min_dG_2e_carbanion_kcal</t>
        </is>
      </c>
      <c r="F8" t="n">
        <v>7</v>
      </c>
      <c r="G8" s="5">
        <f>'gas 04 dG 2e_carbanion'!Q7</f>
        <v/>
      </c>
      <c r="H8" s="5">
        <f>'gas 04 dG 2e_carbanion'!Q5</f>
        <v/>
      </c>
      <c r="I8" s="5" t="n">
        <v>0.9152</v>
      </c>
      <c r="J8" s="5" t="n">
        <v>-0.1578</v>
      </c>
      <c r="K8" s="5" t="n">
        <v>-10.5053</v>
      </c>
      <c r="L8" s="5" t="n">
        <v>0.0007</v>
      </c>
      <c r="M8" s="5" t="n">
        <v>0.8333</v>
      </c>
      <c r="N8" s="5" t="n">
        <v>0.7496</v>
      </c>
      <c r="O8" s="5" t="n">
        <v>1.887</v>
      </c>
      <c r="P8" s="5" t="n">
        <v>0.8162</v>
      </c>
      <c r="Q8" s="5" t="n">
        <v>0.8748</v>
      </c>
      <c r="R8" s="5" t="n">
        <v>0.7587</v>
      </c>
      <c r="S8" t="n">
        <v>14</v>
      </c>
    </row>
    <row r="9">
      <c r="A9" t="inlineStr">
        <is>
          <t>gas</t>
        </is>
      </c>
      <c r="B9" t="n">
        <v>5</v>
      </c>
      <c r="C9" s="4" t="inlineStr">
        <is>
          <t>gas 05 dG ET_any</t>
        </is>
      </c>
      <c r="D9" t="inlineStr">
        <is>
          <t>ΔG ArX + e⁻ → ArX•⁻</t>
        </is>
      </c>
      <c r="E9" t="inlineStr">
        <is>
          <t>dG_ET_any_kcal</t>
        </is>
      </c>
      <c r="F9" t="n">
        <v>7</v>
      </c>
      <c r="G9" s="5">
        <f>'gas 05 dG ET_any'!Q7</f>
        <v/>
      </c>
      <c r="H9" s="5">
        <f>'gas 05 dG ET_any'!Q5</f>
        <v/>
      </c>
      <c r="I9" s="5" t="n">
        <v>0.8662</v>
      </c>
      <c r="J9" s="5" t="n">
        <v>-0.2803</v>
      </c>
      <c r="K9" s="5" t="n">
        <v>-7.3735</v>
      </c>
      <c r="L9" s="5" t="n">
        <v>0.0023</v>
      </c>
      <c r="M9" s="5" t="n">
        <v>1.0469</v>
      </c>
      <c r="N9" s="5" t="n">
        <v>0.402</v>
      </c>
      <c r="O9" s="5" t="n">
        <v>2.164</v>
      </c>
      <c r="P9" s="5" t="n">
        <v>0.8538</v>
      </c>
      <c r="Q9" s="5" t="n">
        <v>0.7717000000000001</v>
      </c>
      <c r="R9" s="5" t="n">
        <v>0.7276</v>
      </c>
      <c r="S9" t="n">
        <v>14</v>
      </c>
    </row>
    <row r="10">
      <c r="A10" t="inlineStr">
        <is>
          <t>gas</t>
        </is>
      </c>
      <c r="B10" t="n">
        <v>6</v>
      </c>
      <c r="C10" s="4" t="inlineStr">
        <is>
          <t>gas 06 n_X</t>
        </is>
      </c>
      <c r="D10" t="inlineStr">
        <is>
          <t>number of halogens</t>
        </is>
      </c>
      <c r="E10" t="inlineStr">
        <is>
          <t>n_X</t>
        </is>
      </c>
      <c r="F10" t="n">
        <v>7</v>
      </c>
      <c r="G10" s="5">
        <f>'gas 06 n_X'!Q7</f>
        <v/>
      </c>
      <c r="H10" s="5">
        <f>'gas 06 n_X'!Q5</f>
        <v/>
      </c>
      <c r="I10" s="5" t="n">
        <v>0.8601</v>
      </c>
      <c r="J10" s="5" t="n">
        <v>1.7556</v>
      </c>
      <c r="K10" s="5" t="n">
        <v>-6.915</v>
      </c>
      <c r="L10" s="5" t="n">
        <v>0.0026</v>
      </c>
      <c r="M10" s="5" t="n">
        <v>1.0705</v>
      </c>
      <c r="N10" s="5" t="n">
        <v>0.4698</v>
      </c>
      <c r="O10" s="5" t="n">
        <v>2.545</v>
      </c>
      <c r="P10" s="5" t="n">
        <v>0.7558</v>
      </c>
      <c r="Q10" s="5" t="n">
        <v>0.7082000000000001</v>
      </c>
      <c r="R10" s="5" t="n">
        <v>0.6758</v>
      </c>
      <c r="S10" t="n">
        <v>14</v>
      </c>
    </row>
    <row r="11">
      <c r="A11" t="inlineStr">
        <is>
          <t>gas</t>
        </is>
      </c>
      <c r="B11" t="n">
        <v>7</v>
      </c>
      <c r="C11" s="4" t="inlineStr">
        <is>
          <t>gas 07 wiberg_CX_parent</t>
        </is>
      </c>
      <c r="D11" t="inlineStr">
        <is>
          <t>weakest Wiberg C–X bond order</t>
        </is>
      </c>
      <c r="E11" t="inlineStr">
        <is>
          <t>min_wiberg_CX_parent</t>
        </is>
      </c>
      <c r="F11" t="n">
        <v>7</v>
      </c>
      <c r="G11" s="5">
        <f>'gas 07 wiberg_CX_parent'!Q7</f>
        <v/>
      </c>
      <c r="H11" s="5">
        <f>'gas 07 wiberg_CX_parent'!Q5</f>
        <v/>
      </c>
      <c r="I11" s="5" t="n">
        <v>0.8583</v>
      </c>
      <c r="J11" s="5" t="n">
        <v>327.7144</v>
      </c>
      <c r="K11" s="5" t="n">
        <v>-346.2257</v>
      </c>
      <c r="L11" s="5" t="n">
        <v>0.0027</v>
      </c>
      <c r="M11" s="5" t="n">
        <v>1.0775</v>
      </c>
      <c r="N11" s="5" t="n">
        <v>0.6136</v>
      </c>
      <c r="O11" s="5" t="n">
        <v>7.137</v>
      </c>
      <c r="P11" s="5" t="n">
        <v>0.9664</v>
      </c>
      <c r="Q11" s="5" t="n">
        <v>0.2466</v>
      </c>
      <c r="R11" s="5" t="n">
        <v>0.2082</v>
      </c>
      <c r="S11" t="n">
        <v>14</v>
      </c>
    </row>
    <row r="12">
      <c r="A12" t="inlineStr">
        <is>
          <t>gas</t>
        </is>
      </c>
      <c r="B12" t="n">
        <v>8</v>
      </c>
      <c r="C12" s="4" t="inlineStr">
        <is>
          <t>gas 08 VEA</t>
        </is>
      </c>
      <c r="D12" t="inlineStr">
        <is>
          <t>vertical electron affinity</t>
        </is>
      </c>
      <c r="E12" t="inlineStr">
        <is>
          <t>VEA_eV</t>
        </is>
      </c>
      <c r="F12" t="n">
        <v>7</v>
      </c>
      <c r="G12" s="5">
        <f>'gas 08 VEA'!Q7</f>
        <v/>
      </c>
      <c r="H12" s="5">
        <f>'gas 08 VEA'!Q5</f>
        <v/>
      </c>
      <c r="I12" s="5" t="n">
        <v>0.8028999999999999</v>
      </c>
      <c r="J12" s="5" t="n">
        <v>4.3418</v>
      </c>
      <c r="K12" s="5" t="n">
        <v>-0.4137</v>
      </c>
      <c r="L12" s="5" t="n">
        <v>0.0063</v>
      </c>
      <c r="M12" s="5" t="n">
        <v>1.2706</v>
      </c>
      <c r="N12" s="5" t="n">
        <v>0.4874</v>
      </c>
      <c r="O12" s="5" t="n">
        <v>1.806</v>
      </c>
      <c r="P12" s="5" t="n">
        <v>0.7036</v>
      </c>
      <c r="Q12" s="5" t="n">
        <v>0.7374000000000001</v>
      </c>
      <c r="R12" s="5" t="n">
        <v>0.6962</v>
      </c>
      <c r="S12" t="n">
        <v>14</v>
      </c>
    </row>
    <row r="13">
      <c r="A13" t="inlineStr">
        <is>
          <t>gas</t>
        </is>
      </c>
      <c r="B13" t="n">
        <v>9</v>
      </c>
      <c r="C13" s="4" t="inlineStr">
        <is>
          <t>gas 09 dG 2e_HDH</t>
        </is>
      </c>
      <c r="D13" t="inlineStr">
        <is>
          <t>ΔG ArX + H⁺ + 2e⁻ → ArH + X⁻</t>
        </is>
      </c>
      <c r="E13" t="inlineStr">
        <is>
          <t>min_dG_2e_HDH_kcal</t>
        </is>
      </c>
      <c r="F13" t="n">
        <v>7</v>
      </c>
      <c r="G13" s="5">
        <f>'gas 09 dG 2e_HDH'!Q7</f>
        <v/>
      </c>
      <c r="H13" s="5">
        <f>'gas 09 dG 2e_HDH'!Q5</f>
        <v/>
      </c>
      <c r="I13" s="5" t="n">
        <v>0.7853</v>
      </c>
      <c r="J13" s="5" t="n">
        <v>-0.7524</v>
      </c>
      <c r="K13" s="5" t="n">
        <v>-321.3947</v>
      </c>
      <c r="L13" s="5" t="n">
        <v>0.007900000000000001</v>
      </c>
      <c r="M13" s="5" t="n">
        <v>1.3262</v>
      </c>
      <c r="N13" s="5" t="n">
        <v>0.0999</v>
      </c>
      <c r="O13" s="5" t="n">
        <v>5.036</v>
      </c>
      <c r="P13" s="5" t="n">
        <v>0.8894</v>
      </c>
      <c r="Q13" s="5" t="n">
        <v>0.3672</v>
      </c>
      <c r="R13" s="5" t="n">
        <v>0.3531</v>
      </c>
      <c r="S13" t="n">
        <v>14</v>
      </c>
    </row>
    <row r="14">
      <c r="A14" t="inlineStr">
        <is>
          <t>gas</t>
        </is>
      </c>
      <c r="B14" t="n">
        <v>10</v>
      </c>
      <c r="C14" s="4" t="inlineStr">
        <is>
          <t>gas 10 omega_dSCF</t>
        </is>
      </c>
      <c r="D14" t="inlineStr">
        <is>
          <t>electrophilicity index (ΔSCF)</t>
        </is>
      </c>
      <c r="E14" t="inlineStr">
        <is>
          <t>omega_dSCF_eV</t>
        </is>
      </c>
      <c r="F14" t="n">
        <v>7</v>
      </c>
      <c r="G14" s="5">
        <f>'gas 10 omega_dSCF'!Q7</f>
        <v/>
      </c>
      <c r="H14" s="5">
        <f>'gas 10 omega_dSCF'!Q5</f>
        <v/>
      </c>
      <c r="I14" s="5" t="n">
        <v>0.7629</v>
      </c>
      <c r="J14" s="5" t="n">
        <v>11.173</v>
      </c>
      <c r="K14" s="5" t="n">
        <v>-13.6175</v>
      </c>
      <c r="L14" s="5" t="n">
        <v>0.0102</v>
      </c>
      <c r="M14" s="5" t="n">
        <v>1.3937</v>
      </c>
      <c r="N14" s="5" t="n">
        <v>0.2394</v>
      </c>
      <c r="O14" s="5" t="n">
        <v>1.577</v>
      </c>
      <c r="P14" s="5" t="n">
        <v>0.7451</v>
      </c>
      <c r="Q14" s="5" t="n">
        <v>0.7188</v>
      </c>
      <c r="R14" s="5" t="n">
        <v>0.7161999999999999</v>
      </c>
      <c r="S14" t="n">
        <v>14</v>
      </c>
    </row>
    <row r="15">
      <c r="A15" t="inlineStr">
        <is>
          <t>gas</t>
        </is>
      </c>
      <c r="B15" t="n">
        <v>11</v>
      </c>
      <c r="C15" s="4" t="inlineStr">
        <is>
          <t>gas 11 LUMO</t>
        </is>
      </c>
      <c r="D15" t="inlineStr">
        <is>
          <t>LUMO of ArX</t>
        </is>
      </c>
      <c r="E15" t="inlineStr">
        <is>
          <t>LUMO_eV</t>
        </is>
      </c>
      <c r="F15" t="n">
        <v>7</v>
      </c>
      <c r="G15" s="5">
        <f>'gas 11 LUMO'!Q7</f>
        <v/>
      </c>
      <c r="H15" s="5">
        <f>'gas 11 LUMO'!Q5</f>
        <v/>
      </c>
      <c r="I15" s="5" t="n">
        <v>0.7588</v>
      </c>
      <c r="J15" s="5" t="n">
        <v>-5.4215</v>
      </c>
      <c r="K15" s="5" t="n">
        <v>-4.9087</v>
      </c>
      <c r="L15" s="5" t="n">
        <v>0.0107</v>
      </c>
      <c r="M15" s="5" t="n">
        <v>1.4055</v>
      </c>
      <c r="N15" s="5" t="n">
        <v>-0.4638</v>
      </c>
      <c r="O15" s="5" t="n">
        <v>1.623</v>
      </c>
      <c r="P15" s="5" t="n">
        <v>0.6747</v>
      </c>
      <c r="Q15" s="5" t="n">
        <v>0.7078</v>
      </c>
      <c r="R15" s="5" t="n">
        <v>0.6948</v>
      </c>
      <c r="S15" t="n">
        <v>14</v>
      </c>
    </row>
    <row r="16">
      <c r="A16" t="inlineStr">
        <is>
          <t>gas</t>
        </is>
      </c>
      <c r="B16" t="n">
        <v>12</v>
      </c>
      <c r="C16" s="4" t="inlineStr">
        <is>
          <t>gas 12 dG 1e</t>
        </is>
      </c>
      <c r="D16" t="inlineStr">
        <is>
          <t>ΔG ArX + e⁻ → Ar• + X⁻</t>
        </is>
      </c>
      <c r="E16" t="inlineStr">
        <is>
          <t>min_dG_1e_kcal</t>
        </is>
      </c>
      <c r="F16" t="n">
        <v>7</v>
      </c>
      <c r="G16" s="5">
        <f>'gas 12 dG 1e'!Q7</f>
        <v/>
      </c>
      <c r="H16" s="5">
        <f>'gas 12 dG 1e'!Q5</f>
        <v/>
      </c>
      <c r="I16" s="5" t="n">
        <v>0.6766</v>
      </c>
      <c r="J16" s="5" t="n">
        <v>-0.8663999999999999</v>
      </c>
      <c r="K16" s="5" t="n">
        <v>-10.9226</v>
      </c>
      <c r="L16" s="5" t="n">
        <v>0.0231</v>
      </c>
      <c r="M16" s="5" t="n">
        <v>1.6276</v>
      </c>
      <c r="N16" s="5" t="n">
        <v>-2.1303</v>
      </c>
      <c r="O16" s="5" t="n">
        <v>7.083</v>
      </c>
      <c r="P16" s="5" t="n">
        <v>0.8565</v>
      </c>
      <c r="Q16" s="5" t="n">
        <v>0.1941</v>
      </c>
      <c r="R16" s="5" t="n">
        <v>0.1883</v>
      </c>
      <c r="S16" t="n">
        <v>14</v>
      </c>
    </row>
    <row r="17">
      <c r="A17" t="inlineStr">
        <is>
          <t>gas</t>
        </is>
      </c>
      <c r="B17" t="n">
        <v>13</v>
      </c>
      <c r="C17" s="4" t="inlineStr">
        <is>
          <t>gas 13 BDE</t>
        </is>
      </c>
      <c r="D17" t="inlineStr">
        <is>
          <t>weakest C–X bond enthalpy</t>
        </is>
      </c>
      <c r="E17" t="inlineStr">
        <is>
          <t>min_BDE_kcal</t>
        </is>
      </c>
      <c r="F17" t="n">
        <v>7</v>
      </c>
      <c r="G17" s="5">
        <f>'gas 13 BDE'!Q7</f>
        <v/>
      </c>
      <c r="H17" s="5">
        <f>'gas 13 BDE'!Q5</f>
        <v/>
      </c>
      <c r="I17" s="5" t="n">
        <v>0.6389</v>
      </c>
      <c r="J17" s="5" t="n">
        <v>-1.0139</v>
      </c>
      <c r="K17" s="5" t="n">
        <v>74.5381</v>
      </c>
      <c r="L17" s="5" t="n">
        <v>0.031</v>
      </c>
      <c r="M17" s="5" t="n">
        <v>1.7198</v>
      </c>
      <c r="N17" s="5" t="n">
        <v>-2.0922</v>
      </c>
      <c r="O17" s="5" t="n">
        <v>14.539</v>
      </c>
      <c r="P17" s="5" t="n">
        <v>0.7111</v>
      </c>
      <c r="Q17" s="5" t="n">
        <v>0.0775</v>
      </c>
      <c r="R17" s="5" t="n">
        <v>0.0762</v>
      </c>
      <c r="S17" t="n">
        <v>14</v>
      </c>
    </row>
    <row r="18">
      <c r="A18" t="inlineStr">
        <is>
          <t>gas</t>
        </is>
      </c>
      <c r="B18" t="n">
        <v>14</v>
      </c>
      <c r="C18" s="4" t="inlineStr">
        <is>
          <t>gas 14 LUMO_RA</t>
        </is>
      </c>
      <c r="D18" t="inlineStr">
        <is>
          <t>LUMO of the radical anion ArX•⁻</t>
        </is>
      </c>
      <c r="E18" t="inlineStr">
        <is>
          <t>LUMO_RA_eV</t>
        </is>
      </c>
      <c r="F18" t="n">
        <v>7</v>
      </c>
      <c r="G18" s="5">
        <f>'gas 14 LUMO_RA'!Q7</f>
        <v/>
      </c>
      <c r="H18" s="5">
        <f>'gas 14 LUMO_RA'!Q5</f>
        <v/>
      </c>
      <c r="I18" s="5" t="n">
        <v>0.4408</v>
      </c>
      <c r="J18" s="5" t="n">
        <v>-5.7594</v>
      </c>
      <c r="K18" s="5" t="n">
        <v>10.3861</v>
      </c>
      <c r="L18" s="5" t="n">
        <v>0.1039</v>
      </c>
      <c r="M18" s="5" t="n">
        <v>2.1401</v>
      </c>
      <c r="N18" s="5" t="n">
        <v>-0.3728</v>
      </c>
      <c r="O18" s="5" t="n">
        <v>2.65</v>
      </c>
      <c r="P18" s="5" t="n">
        <v>0.3041</v>
      </c>
      <c r="Q18" s="5" t="n">
        <v>0.3335</v>
      </c>
      <c r="R18" s="5" t="n">
        <v>0.3261</v>
      </c>
      <c r="S18" t="n">
        <v>14</v>
      </c>
    </row>
    <row r="19">
      <c r="A19" t="inlineStr">
        <is>
          <t>gas</t>
        </is>
      </c>
      <c r="B19" t="n">
        <v>15</v>
      </c>
      <c r="C19" s="4" t="inlineStr">
        <is>
          <t>gas 15 dr_CX_RA</t>
        </is>
      </c>
      <c r="D19" t="inlineStr">
        <is>
          <t>largest C–X elongation in ArX•⁻</t>
        </is>
      </c>
      <c r="E19" t="inlineStr">
        <is>
          <t>max_dr_CX_RA_A</t>
        </is>
      </c>
      <c r="F19" t="n">
        <v>7</v>
      </c>
      <c r="G19" s="5">
        <f>'gas 15 dr_CX_RA'!Q7</f>
        <v/>
      </c>
      <c r="H19" s="5">
        <f>'gas 15 dr_CX_RA'!Q5</f>
        <v/>
      </c>
      <c r="I19" s="5" t="n">
        <v>0.1135</v>
      </c>
      <c r="J19" s="5" t="n">
        <v>-2.4631</v>
      </c>
      <c r="K19" s="5" t="n">
        <v>-0.7542</v>
      </c>
      <c r="L19" s="5" t="n">
        <v>0.4599</v>
      </c>
      <c r="M19" s="5" t="n">
        <v>2.6947</v>
      </c>
      <c r="N19" s="5" t="n">
        <v>-0.9953</v>
      </c>
      <c r="O19" s="5" t="n">
        <v>2.673</v>
      </c>
      <c r="P19" s="5" t="n">
        <v>0.0048</v>
      </c>
      <c r="Q19" s="5" t="n">
        <v>0.0518</v>
      </c>
      <c r="R19" s="5" t="n">
        <v>0.027</v>
      </c>
      <c r="S19" t="n">
        <v>14</v>
      </c>
    </row>
    <row r="20">
      <c r="A20" t="inlineStr">
        <is>
          <t>gas</t>
        </is>
      </c>
      <c r="B20" t="n">
        <v>16</v>
      </c>
      <c r="C20" s="4" t="inlineStr">
        <is>
          <t>gas 16 fplus_CX</t>
        </is>
      </c>
      <c r="D20" t="inlineStr">
        <is>
          <t>largest Fukui f+ on a C–X bond</t>
        </is>
      </c>
      <c r="E20" t="inlineStr">
        <is>
          <t>max_fplus_CX</t>
        </is>
      </c>
      <c r="F20" t="n">
        <v>7</v>
      </c>
      <c r="G20" s="5">
        <f>'gas 16 fplus_CX'!Q7</f>
        <v/>
      </c>
      <c r="H20" s="5">
        <f>'gas 16 fplus_CX'!Q5</f>
        <v/>
      </c>
      <c r="I20" s="5" t="n">
        <v>0.0066</v>
      </c>
      <c r="J20" s="5" t="n">
        <v>-2.663</v>
      </c>
      <c r="K20" s="5" t="n">
        <v>-1.1421</v>
      </c>
      <c r="L20" s="5" t="n">
        <v>0.8629</v>
      </c>
      <c r="M20" s="5" t="n">
        <v>2.8526</v>
      </c>
      <c r="N20" s="5" t="n">
        <v>-2.112</v>
      </c>
      <c r="O20" s="5" t="n">
        <v>2.549</v>
      </c>
      <c r="P20" s="5" t="n">
        <v>0.4767</v>
      </c>
      <c r="Q20" s="5" t="n">
        <v>0.0119</v>
      </c>
      <c r="R20" s="5" t="n">
        <v>0.0101</v>
      </c>
      <c r="S20" t="n">
        <v>14</v>
      </c>
    </row>
    <row r="21">
      <c r="A21" t="inlineStr">
        <is>
          <t>SMD</t>
        </is>
      </c>
      <c r="B21" t="n">
        <v>1</v>
      </c>
      <c r="C21" s="4" t="inlineStr">
        <is>
          <t>SMD 01 dG rad_red</t>
        </is>
      </c>
      <c r="D21" t="inlineStr">
        <is>
          <t>ΔG Ar• + e⁻ → Ar⁻</t>
        </is>
      </c>
      <c r="E21" t="inlineStr">
        <is>
          <t>min_dG_rad_red_kcal</t>
        </is>
      </c>
      <c r="F21" t="n">
        <v>7</v>
      </c>
      <c r="G21" s="5">
        <f>'SMD 01 dG rad_red'!Q7</f>
        <v/>
      </c>
      <c r="H21" s="5">
        <f>'SMD 01 dG rad_red'!Q5</f>
        <v/>
      </c>
      <c r="I21" s="5" t="n">
        <v>0.8924</v>
      </c>
      <c r="J21" s="5" t="n">
        <v>-0.3373</v>
      </c>
      <c r="K21" s="5" t="n">
        <v>-33.757</v>
      </c>
      <c r="L21" s="5" t="n">
        <v>0.0013</v>
      </c>
      <c r="M21" s="5" t="n">
        <v>0.9389</v>
      </c>
      <c r="N21" s="5" t="n">
        <v>0.7114</v>
      </c>
      <c r="O21" s="5" t="n">
        <v>3.432</v>
      </c>
      <c r="P21" s="5" t="n">
        <v>0.8169999999999999</v>
      </c>
      <c r="Q21" s="5" t="n">
        <v>0.6424</v>
      </c>
      <c r="R21" s="5" t="n">
        <v>0.6197</v>
      </c>
      <c r="S21" t="n">
        <v>14</v>
      </c>
    </row>
    <row r="22">
      <c r="A22" t="inlineStr">
        <is>
          <t>SMD</t>
        </is>
      </c>
      <c r="B22" t="n">
        <v>2</v>
      </c>
      <c r="C22" s="4" t="inlineStr">
        <is>
          <t>SMD 02 wiberg_CX_parent</t>
        </is>
      </c>
      <c r="D22" t="inlineStr">
        <is>
          <t>weakest Wiberg C–X bond order</t>
        </is>
      </c>
      <c r="E22" t="inlineStr">
        <is>
          <t>min_wiberg_CX_parent</t>
        </is>
      </c>
      <c r="F22" t="n">
        <v>7</v>
      </c>
      <c r="G22" s="5">
        <f>'SMD 02 wiberg_CX_parent'!Q7</f>
        <v/>
      </c>
      <c r="H22" s="5">
        <f>'SMD 02 wiberg_CX_parent'!Q5</f>
        <v/>
      </c>
      <c r="I22" s="5" t="n">
        <v>0.8822</v>
      </c>
      <c r="J22" s="5" t="n">
        <v>259.9502</v>
      </c>
      <c r="K22" s="5" t="n">
        <v>-273.6079</v>
      </c>
      <c r="L22" s="5" t="n">
        <v>0.0017</v>
      </c>
      <c r="M22" s="5" t="n">
        <v>0.9824000000000001</v>
      </c>
      <c r="N22" s="5" t="n">
        <v>0.6738</v>
      </c>
      <c r="O22" s="5" t="n">
        <v>5.318</v>
      </c>
      <c r="P22" s="5" t="n">
        <v>0.9283</v>
      </c>
      <c r="Q22" s="5" t="n">
        <v>0.3934</v>
      </c>
      <c r="R22" s="5" t="n">
        <v>0.3359</v>
      </c>
      <c r="S22" t="n">
        <v>14</v>
      </c>
    </row>
    <row r="23">
      <c r="A23" t="inlineStr">
        <is>
          <t>SMD</t>
        </is>
      </c>
      <c r="B23" t="n">
        <v>3</v>
      </c>
      <c r="C23" s="4" t="inlineStr">
        <is>
          <t>SMD 03 n_X</t>
        </is>
      </c>
      <c r="D23" t="inlineStr">
        <is>
          <t>number of halogens</t>
        </is>
      </c>
      <c r="E23" t="inlineStr">
        <is>
          <t>n_X</t>
        </is>
      </c>
      <c r="F23" t="n">
        <v>7</v>
      </c>
      <c r="G23" s="5">
        <f>'SMD 03 n_X'!Q7</f>
        <v/>
      </c>
      <c r="H23" s="5">
        <f>'SMD 03 n_X'!Q5</f>
        <v/>
      </c>
      <c r="I23" s="5" t="n">
        <v>0.8601</v>
      </c>
      <c r="J23" s="5" t="n">
        <v>1.7556</v>
      </c>
      <c r="K23" s="5" t="n">
        <v>-6.915</v>
      </c>
      <c r="L23" s="5" t="n">
        <v>0.0026</v>
      </c>
      <c r="M23" s="5" t="n">
        <v>1.0705</v>
      </c>
      <c r="N23" s="5" t="n">
        <v>0.4698</v>
      </c>
      <c r="O23" s="5" t="n">
        <v>2.545</v>
      </c>
      <c r="P23" s="5" t="n">
        <v>0.7558</v>
      </c>
      <c r="Q23" s="5" t="n">
        <v>0.7082000000000001</v>
      </c>
      <c r="R23" s="5" t="n">
        <v>0.6758</v>
      </c>
      <c r="S23" t="n">
        <v>14</v>
      </c>
    </row>
    <row r="24">
      <c r="A24" t="inlineStr">
        <is>
          <t>SMD</t>
        </is>
      </c>
      <c r="B24" t="n">
        <v>4</v>
      </c>
      <c r="C24" s="4" t="inlineStr">
        <is>
          <t>SMD 04 dG 2e_carbanion</t>
        </is>
      </c>
      <c r="D24" t="inlineStr">
        <is>
          <t>ΔG ArX + 2e⁻ → Ar⁻ + X⁻</t>
        </is>
      </c>
      <c r="E24" t="inlineStr">
        <is>
          <t>min_dG_2e_carbanion_kcal</t>
        </is>
      </c>
      <c r="F24" t="n">
        <v>7</v>
      </c>
      <c r="G24" s="5">
        <f>'SMD 04 dG 2e_carbanion'!Q7</f>
        <v/>
      </c>
      <c r="H24" s="5">
        <f>'SMD 04 dG 2e_carbanion'!Q5</f>
        <v/>
      </c>
      <c r="I24" s="5" t="n">
        <v>0.8592</v>
      </c>
      <c r="J24" s="5" t="n">
        <v>-0.2521</v>
      </c>
      <c r="K24" s="5" t="n">
        <v>-41.0824</v>
      </c>
      <c r="L24" s="5" t="n">
        <v>0.0027</v>
      </c>
      <c r="M24" s="5" t="n">
        <v>1.074</v>
      </c>
      <c r="N24" s="5" t="n">
        <v>0.5379</v>
      </c>
      <c r="O24" s="5" t="n">
        <v>3.122</v>
      </c>
      <c r="P24" s="5" t="n">
        <v>0.8223</v>
      </c>
      <c r="Q24" s="5" t="n">
        <v>0.6139</v>
      </c>
      <c r="R24" s="5" t="n">
        <v>0.6116</v>
      </c>
      <c r="S24" t="n">
        <v>14</v>
      </c>
    </row>
    <row r="25">
      <c r="A25" t="inlineStr">
        <is>
          <t>SMD</t>
        </is>
      </c>
      <c r="B25" t="n">
        <v>5</v>
      </c>
      <c r="C25" s="4" t="inlineStr">
        <is>
          <t>SMD 05 dG0_act_concerted</t>
        </is>
      </c>
      <c r="D25" t="inlineStr">
        <is>
          <t>Savéant intrinsic barrier (weakest C–X)</t>
        </is>
      </c>
      <c r="E25" t="inlineStr">
        <is>
          <t>min_dG0_act_concerted_kcal</t>
        </is>
      </c>
      <c r="F25" t="n">
        <v>7</v>
      </c>
      <c r="G25" s="5">
        <f>'SMD 05 dG0_act_concerted'!Q7</f>
        <v/>
      </c>
      <c r="H25" s="5">
        <f>'SMD 05 dG0_act_concerted'!Q5</f>
        <v/>
      </c>
      <c r="I25" s="5" t="n">
        <v>0.8285</v>
      </c>
      <c r="J25" s="5" t="n">
        <v>-2.5709</v>
      </c>
      <c r="K25" s="5" t="n">
        <v>65.05119999999999</v>
      </c>
      <c r="L25" s="5" t="n">
        <v>0.0044</v>
      </c>
      <c r="M25" s="5" t="n">
        <v>1.1854</v>
      </c>
      <c r="N25" s="5" t="n">
        <v>0.1375</v>
      </c>
      <c r="O25" s="5" t="n">
        <v>9.532999999999999</v>
      </c>
      <c r="P25" s="5" t="n">
        <v>0.7702</v>
      </c>
      <c r="Q25" s="5" t="n">
        <v>0.1888</v>
      </c>
      <c r="R25" s="5" t="n">
        <v>0.1623</v>
      </c>
      <c r="S25" t="n">
        <v>14</v>
      </c>
    </row>
    <row r="26">
      <c r="A26" t="inlineStr">
        <is>
          <t>SMD</t>
        </is>
      </c>
      <c r="B26" t="n">
        <v>6</v>
      </c>
      <c r="C26" s="4" t="inlineStr">
        <is>
          <t>SMD 06 VEA</t>
        </is>
      </c>
      <c r="D26" t="inlineStr">
        <is>
          <t>vertical electron affinity</t>
        </is>
      </c>
      <c r="E26" t="inlineStr">
        <is>
          <t>VEA_eV</t>
        </is>
      </c>
      <c r="F26" t="n">
        <v>7</v>
      </c>
      <c r="G26" s="5">
        <f>'SMD 06 VEA'!Q7</f>
        <v/>
      </c>
      <c r="H26" s="5">
        <f>'SMD 06 VEA'!Q5</f>
        <v/>
      </c>
      <c r="I26" s="5" t="n">
        <v>0.8275</v>
      </c>
      <c r="J26" s="5" t="n">
        <v>6.8345</v>
      </c>
      <c r="K26" s="5" t="n">
        <v>-11.7573</v>
      </c>
      <c r="L26" s="5" t="n">
        <v>0.0045</v>
      </c>
      <c r="M26" s="5" t="n">
        <v>1.1886</v>
      </c>
      <c r="N26" s="5" t="n">
        <v>0.2059</v>
      </c>
      <c r="O26" s="5" t="n">
        <v>1.696</v>
      </c>
      <c r="P26" s="5" t="n">
        <v>0.716</v>
      </c>
      <c r="Q26" s="5" t="n">
        <v>0.7322</v>
      </c>
      <c r="R26" s="5" t="n">
        <v>0.7183</v>
      </c>
      <c r="S26" t="n">
        <v>14</v>
      </c>
    </row>
    <row r="27">
      <c r="A27" t="inlineStr">
        <is>
          <t>SMD</t>
        </is>
      </c>
      <c r="B27" t="n">
        <v>7</v>
      </c>
      <c r="C27" s="4" t="inlineStr">
        <is>
          <t>SMD 07 dG 2e_HDH</t>
        </is>
      </c>
      <c r="D27" t="inlineStr">
        <is>
          <t>ΔG ArX + H⁺ + 2e⁻ → ArH + X⁻</t>
        </is>
      </c>
      <c r="E27" t="inlineStr">
        <is>
          <t>min_dG_2e_HDH_kcal</t>
        </is>
      </c>
      <c r="F27" t="n">
        <v>7</v>
      </c>
      <c r="G27" s="5">
        <f>'SMD 07 dG 2e_HDH'!Q7</f>
        <v/>
      </c>
      <c r="H27" s="5">
        <f>'SMD 07 dG 2e_HDH'!Q5</f>
        <v/>
      </c>
      <c r="I27" s="5" t="n">
        <v>0.8172</v>
      </c>
      <c r="J27" s="5" t="n">
        <v>-0.7831</v>
      </c>
      <c r="K27" s="5" t="n">
        <v>-167.9041</v>
      </c>
      <c r="L27" s="5" t="n">
        <v>0.0052</v>
      </c>
      <c r="M27" s="5" t="n">
        <v>1.2238</v>
      </c>
      <c r="N27" s="5" t="n">
        <v>0.3868</v>
      </c>
      <c r="O27" s="5" t="n">
        <v>3.51</v>
      </c>
      <c r="P27" s="5" t="n">
        <v>0.8773</v>
      </c>
      <c r="Q27" s="5" t="n">
        <v>0.4663</v>
      </c>
      <c r="R27" s="5" t="n">
        <v>0.4484</v>
      </c>
      <c r="S27" t="n">
        <v>14</v>
      </c>
    </row>
    <row r="28">
      <c r="A28" t="inlineStr">
        <is>
          <t>SMD</t>
        </is>
      </c>
      <c r="B28" t="n">
        <v>8</v>
      </c>
      <c r="C28" s="4" t="inlineStr">
        <is>
          <t>SMD 08 dG act_concerted</t>
        </is>
      </c>
      <c r="D28" t="inlineStr">
        <is>
          <t>Savéant concerted barrier</t>
        </is>
      </c>
      <c r="E28" t="inlineStr">
        <is>
          <t>eff_dG_act_concerted_kcal @ -2.00 V</t>
        </is>
      </c>
      <c r="F28" t="n">
        <v>7</v>
      </c>
      <c r="G28" s="5">
        <f>'SMD 08 dG act_concerted'!Q7</f>
        <v/>
      </c>
      <c r="H28" s="5">
        <f>'SMD 08 dG act_concerted'!Q5</f>
        <v/>
      </c>
      <c r="I28" s="5" t="n">
        <v>0.8007</v>
      </c>
      <c r="J28" s="5" t="n">
        <v>-1.0471</v>
      </c>
      <c r="K28" s="5" t="n">
        <v>20.6633</v>
      </c>
      <c r="L28" s="5" t="n">
        <v>0.0065</v>
      </c>
      <c r="M28" s="5" t="n">
        <v>1.2776</v>
      </c>
      <c r="N28" s="5" t="n">
        <v>-0.0434</v>
      </c>
      <c r="O28" s="5" t="n">
        <v>2.672</v>
      </c>
      <c r="P28" s="5" t="n">
        <v>0.8484</v>
      </c>
      <c r="Q28" s="5" t="n">
        <v>0.6002999999999999</v>
      </c>
      <c r="R28" s="5" t="n">
        <v>0.5449000000000001</v>
      </c>
      <c r="S28" t="n">
        <v>14</v>
      </c>
    </row>
    <row r="29">
      <c r="A29" t="inlineStr">
        <is>
          <t>SMD</t>
        </is>
      </c>
      <c r="B29" t="n">
        <v>9</v>
      </c>
      <c r="C29" s="4" t="inlineStr">
        <is>
          <t>SMD 09 dG act_combined</t>
        </is>
      </c>
      <c r="D29" t="inlineStr">
        <is>
          <t>combined stepwise + concerted</t>
        </is>
      </c>
      <c r="E29" t="inlineStr">
        <is>
          <t>eff_dG_act_combined_kcal @ -2.00 V</t>
        </is>
      </c>
      <c r="F29" t="n">
        <v>7</v>
      </c>
      <c r="G29" s="5">
        <f>'SMD 09 dG act_combined'!Q7</f>
        <v/>
      </c>
      <c r="H29" s="5">
        <f>'SMD 09 dG act_combined'!Q5</f>
        <v/>
      </c>
      <c r="I29" s="5" t="n">
        <v>0.8007</v>
      </c>
      <c r="J29" s="5" t="n">
        <v>-1.0471</v>
      </c>
      <c r="K29" s="5" t="n">
        <v>20.6633</v>
      </c>
      <c r="L29" s="5" t="n">
        <v>0.0065</v>
      </c>
      <c r="M29" s="5" t="n">
        <v>1.2776</v>
      </c>
      <c r="N29" s="5" t="n">
        <v>-0.0434</v>
      </c>
      <c r="O29" s="5" t="n">
        <v>2.672</v>
      </c>
      <c r="P29" s="5" t="n">
        <v>0.8484</v>
      </c>
      <c r="Q29" s="5" t="n">
        <v>0.6002999999999999</v>
      </c>
      <c r="R29" s="5" t="n">
        <v>0.5449000000000001</v>
      </c>
      <c r="S29" t="n">
        <v>14</v>
      </c>
    </row>
    <row r="30">
      <c r="A30" t="inlineStr">
        <is>
          <t>SMD</t>
        </is>
      </c>
      <c r="B30" t="n">
        <v>10</v>
      </c>
      <c r="C30" s="4" t="inlineStr">
        <is>
          <t>SMD 10 omega_dSCF</t>
        </is>
      </c>
      <c r="D30" t="inlineStr">
        <is>
          <t>electrophilicity index (ΔSCF)</t>
        </is>
      </c>
      <c r="E30" t="inlineStr">
        <is>
          <t>omega_dSCF_eV</t>
        </is>
      </c>
      <c r="F30" t="n">
        <v>7</v>
      </c>
      <c r="G30" s="5">
        <f>'SMD 10 omega_dSCF'!Q7</f>
        <v/>
      </c>
      <c r="H30" s="5">
        <f>'SMD 10 omega_dSCF'!Q5</f>
        <v/>
      </c>
      <c r="I30" s="5" t="n">
        <v>0.7953</v>
      </c>
      <c r="J30" s="5" t="n">
        <v>8.936199999999999</v>
      </c>
      <c r="K30" s="5" t="n">
        <v>-16.6302</v>
      </c>
      <c r="L30" s="5" t="n">
        <v>0.007</v>
      </c>
      <c r="M30" s="5" t="n">
        <v>1.295</v>
      </c>
      <c r="N30" s="5" t="n">
        <v>-0.1301</v>
      </c>
      <c r="O30" s="5" t="n">
        <v>1.638</v>
      </c>
      <c r="P30" s="5" t="n">
        <v>0.7413999999999999</v>
      </c>
      <c r="Q30" s="5" t="n">
        <v>0.7301</v>
      </c>
      <c r="R30" s="5" t="n">
        <v>0.7038</v>
      </c>
      <c r="S30" t="n">
        <v>14</v>
      </c>
    </row>
    <row r="31">
      <c r="A31" t="inlineStr">
        <is>
          <t>SMD</t>
        </is>
      </c>
      <c r="B31" t="n">
        <v>11</v>
      </c>
      <c r="C31" s="4" t="inlineStr">
        <is>
          <t>SMD 11 LUMO</t>
        </is>
      </c>
      <c r="D31" t="inlineStr">
        <is>
          <t>LUMO of ArX</t>
        </is>
      </c>
      <c r="E31" t="inlineStr">
        <is>
          <t>LUMO_eV</t>
        </is>
      </c>
      <c r="F31" t="n">
        <v>7</v>
      </c>
      <c r="G31" s="5">
        <f>'SMD 11 LUMO'!Q7</f>
        <v/>
      </c>
      <c r="H31" s="5">
        <f>'SMD 11 LUMO'!Q5</f>
        <v/>
      </c>
      <c r="I31" s="5" t="n">
        <v>0.7412</v>
      </c>
      <c r="J31" s="5" t="n">
        <v>-4.8021</v>
      </c>
      <c r="K31" s="5" t="n">
        <v>-3.7877</v>
      </c>
      <c r="L31" s="5" t="n">
        <v>0.0128</v>
      </c>
      <c r="M31" s="5" t="n">
        <v>1.4559</v>
      </c>
      <c r="N31" s="5" t="n">
        <v>-0.6612</v>
      </c>
      <c r="O31" s="5" t="n">
        <v>1.49</v>
      </c>
      <c r="P31" s="5" t="n">
        <v>0.7307</v>
      </c>
      <c r="Q31" s="5" t="n">
        <v>0.7094</v>
      </c>
      <c r="R31" s="5" t="n">
        <v>0.7075</v>
      </c>
      <c r="S31" t="n">
        <v>14</v>
      </c>
    </row>
    <row r="32">
      <c r="A32" t="inlineStr">
        <is>
          <t>SMD</t>
        </is>
      </c>
      <c r="B32" t="n">
        <v>12</v>
      </c>
      <c r="C32" s="4" t="inlineStr">
        <is>
          <t>SMD 12 dG 1e</t>
        </is>
      </c>
      <c r="D32" t="inlineStr">
        <is>
          <t>ΔG ArX + e⁻ → Ar• + X⁻</t>
        </is>
      </c>
      <c r="E32" t="inlineStr">
        <is>
          <t>min_dG_1e_kcal</t>
        </is>
      </c>
      <c r="F32" t="n">
        <v>7</v>
      </c>
      <c r="G32" s="5">
        <f>'SMD 12 dG 1e'!Q7</f>
        <v/>
      </c>
      <c r="H32" s="5">
        <f>'SMD 12 dG 1e'!Q5</f>
        <v/>
      </c>
      <c r="I32" s="5" t="n">
        <v>0.7086</v>
      </c>
      <c r="J32" s="5" t="n">
        <v>-0.9294</v>
      </c>
      <c r="K32" s="5" t="n">
        <v>-58.5479</v>
      </c>
      <c r="L32" s="5" t="n">
        <v>0.0175</v>
      </c>
      <c r="M32" s="5" t="n">
        <v>1.545</v>
      </c>
      <c r="N32" s="5" t="n">
        <v>-0.7651</v>
      </c>
      <c r="O32" s="5" t="n">
        <v>2.993</v>
      </c>
      <c r="P32" s="5" t="n">
        <v>0.8561</v>
      </c>
      <c r="Q32" s="5" t="n">
        <v>0.4351</v>
      </c>
      <c r="R32" s="5" t="n">
        <v>0.3964</v>
      </c>
      <c r="S32" t="n">
        <v>14</v>
      </c>
    </row>
    <row r="33">
      <c r="A33" t="inlineStr">
        <is>
          <t>SMD</t>
        </is>
      </c>
      <c r="B33" t="n">
        <v>13</v>
      </c>
      <c r="C33" s="4" t="inlineStr">
        <is>
          <t>SMD 13 BDE</t>
        </is>
      </c>
      <c r="D33" t="inlineStr">
        <is>
          <t>weakest C–X bond enthalpy</t>
        </is>
      </c>
      <c r="E33" t="inlineStr">
        <is>
          <t>min_BDE_kcal</t>
        </is>
      </c>
      <c r="F33" t="n">
        <v>7</v>
      </c>
      <c r="G33" s="5">
        <f>'SMD 13 BDE'!Q7</f>
        <v/>
      </c>
      <c r="H33" s="5">
        <f>'SMD 13 BDE'!Q5</f>
        <v/>
      </c>
      <c r="I33" s="5" t="n">
        <v>0.7007</v>
      </c>
      <c r="J33" s="5" t="n">
        <v>-1.026</v>
      </c>
      <c r="K33" s="5" t="n">
        <v>75.32089999999999</v>
      </c>
      <c r="L33" s="5" t="n">
        <v>0.0188</v>
      </c>
      <c r="M33" s="5" t="n">
        <v>1.5658</v>
      </c>
      <c r="N33" s="5" t="n">
        <v>-1.0808</v>
      </c>
      <c r="O33" s="5" t="n">
        <v>15.162</v>
      </c>
      <c r="P33" s="5" t="n">
        <v>0.7432</v>
      </c>
      <c r="Q33" s="5" t="n">
        <v>0.0822</v>
      </c>
      <c r="R33" s="5" t="n">
        <v>0.0799</v>
      </c>
      <c r="S33" t="n">
        <v>14</v>
      </c>
    </row>
    <row r="34">
      <c r="A34" t="inlineStr">
        <is>
          <t>SMD</t>
        </is>
      </c>
      <c r="B34" t="n">
        <v>14</v>
      </c>
      <c r="C34" s="4" t="inlineStr">
        <is>
          <t>SMD 14 fplus_CX</t>
        </is>
      </c>
      <c r="D34" t="inlineStr">
        <is>
          <t>largest Fukui f+ on a C–X bond</t>
        </is>
      </c>
      <c r="E34" t="inlineStr">
        <is>
          <t>max_fplus_CX</t>
        </is>
      </c>
      <c r="F34" t="n">
        <v>7</v>
      </c>
      <c r="G34" s="5">
        <f>'SMD 14 fplus_CX'!Q7</f>
        <v/>
      </c>
      <c r="H34" s="5">
        <f>'SMD 14 fplus_CX'!Q5</f>
        <v/>
      </c>
      <c r="I34" s="5" t="n">
        <v>0.5331</v>
      </c>
      <c r="J34" s="5" t="n">
        <v>105.2913</v>
      </c>
      <c r="K34" s="5" t="n">
        <v>-15.9496</v>
      </c>
      <c r="L34" s="5" t="n">
        <v>0.0624</v>
      </c>
      <c r="M34" s="5" t="n">
        <v>1.9556</v>
      </c>
      <c r="N34" s="5" t="n">
        <v>0.1795</v>
      </c>
      <c r="O34" s="5" t="n">
        <v>5.003</v>
      </c>
      <c r="P34" s="5" t="n">
        <v>0.5645</v>
      </c>
      <c r="Q34" s="5" t="n">
        <v>0.3151</v>
      </c>
      <c r="R34" s="5" t="n">
        <v>0.2696</v>
      </c>
      <c r="S34" t="n">
        <v>14</v>
      </c>
    </row>
    <row r="35">
      <c r="A35" t="inlineStr">
        <is>
          <t>SMD</t>
        </is>
      </c>
      <c r="B35" t="n">
        <v>15</v>
      </c>
      <c r="C35" s="4" t="inlineStr">
        <is>
          <t>SMD 15 dG ET_any</t>
        </is>
      </c>
      <c r="D35" t="inlineStr">
        <is>
          <t>ΔG ArX + e⁻ → ArX•⁻</t>
        </is>
      </c>
      <c r="E35" t="inlineStr">
        <is>
          <t>dG_ET_any_kcal</t>
        </is>
      </c>
      <c r="F35" t="n">
        <v>7</v>
      </c>
      <c r="G35" s="5">
        <f>'SMD 15 dG ET_any'!Q7</f>
        <v/>
      </c>
      <c r="H35" s="5">
        <f>'SMD 15 dG ET_any'!Q5</f>
        <v/>
      </c>
      <c r="I35" s="5" t="n">
        <v>0.4856</v>
      </c>
      <c r="J35" s="5" t="n">
        <v>-0.2147</v>
      </c>
      <c r="K35" s="5" t="n">
        <v>-14.1465</v>
      </c>
      <c r="L35" s="5" t="n">
        <v>0.0819</v>
      </c>
      <c r="M35" s="5" t="n">
        <v>2.0527</v>
      </c>
      <c r="N35" s="5" t="n">
        <v>-0.9527</v>
      </c>
      <c r="O35" s="5" t="n">
        <v>1.905</v>
      </c>
      <c r="P35" s="5" t="n">
        <v>0.5258</v>
      </c>
      <c r="Q35" s="5" t="n">
        <v>0.4882</v>
      </c>
      <c r="R35" s="5" t="n">
        <v>0.4763</v>
      </c>
      <c r="S35" t="n">
        <v>14</v>
      </c>
    </row>
    <row r="36">
      <c r="A36" t="inlineStr">
        <is>
          <t>SMD</t>
        </is>
      </c>
      <c r="B36" t="n">
        <v>16</v>
      </c>
      <c r="C36" s="4" t="inlineStr">
        <is>
          <t>SMD 16 dG frag_any</t>
        </is>
      </c>
      <c r="D36" t="inlineStr">
        <is>
          <t>ΔG ArX•⁻ → Ar• + X⁻</t>
        </is>
      </c>
      <c r="E36" t="inlineStr">
        <is>
          <t>min_dG_frag_any_kcal</t>
        </is>
      </c>
      <c r="F36" t="n">
        <v>7</v>
      </c>
      <c r="G36" s="5">
        <f>'SMD 16 dG frag_any'!Q7</f>
        <v/>
      </c>
      <c r="H36" s="5">
        <f>'SMD 16 dG frag_any'!Q5</f>
        <v/>
      </c>
      <c r="I36" s="5" t="n">
        <v>0.3153</v>
      </c>
      <c r="J36" s="5" t="n">
        <v>0.2104</v>
      </c>
      <c r="K36" s="5" t="n">
        <v>-1.0142</v>
      </c>
      <c r="L36" s="5" t="n">
        <v>0.1897</v>
      </c>
      <c r="M36" s="5" t="n">
        <v>2.3683</v>
      </c>
      <c r="N36" s="5" t="n">
        <v>-6.7526</v>
      </c>
      <c r="O36" s="5" t="n">
        <v>2.161</v>
      </c>
      <c r="P36" s="5" t="n">
        <v>0.4749</v>
      </c>
      <c r="Q36" s="5" t="n">
        <v>0.3475</v>
      </c>
      <c r="R36" s="5" t="n">
        <v>0.3357</v>
      </c>
      <c r="S36" t="n">
        <v>14</v>
      </c>
    </row>
    <row r="37">
      <c r="A37" t="inlineStr">
        <is>
          <t>SMD</t>
        </is>
      </c>
      <c r="B37" t="n">
        <v>17</v>
      </c>
      <c r="C37" s="4" t="inlineStr">
        <is>
          <t>SMD 17 dr_CX_RA</t>
        </is>
      </c>
      <c r="D37" t="inlineStr">
        <is>
          <t>largest C–X elongation in ArX•⁻</t>
        </is>
      </c>
      <c r="E37" t="inlineStr">
        <is>
          <t>max_dr_CX_RA_A</t>
        </is>
      </c>
      <c r="F37" t="n">
        <v>7</v>
      </c>
      <c r="G37" s="5">
        <f>'SMD 17 dr_CX_RA'!Q7</f>
        <v/>
      </c>
      <c r="H37" s="5">
        <f>'SMD 17 dr_CX_RA'!Q5</f>
        <v/>
      </c>
      <c r="I37" s="5" t="n">
        <v>0.31</v>
      </c>
      <c r="J37" s="5" t="n">
        <v>-1.5677</v>
      </c>
      <c r="K37" s="5" t="n">
        <v>-0.5597</v>
      </c>
      <c r="L37" s="5" t="n">
        <v>0.1942</v>
      </c>
      <c r="M37" s="5" t="n">
        <v>2.3774</v>
      </c>
      <c r="N37" s="5" t="n">
        <v>-1.063</v>
      </c>
      <c r="O37" s="5" t="n">
        <v>2.77</v>
      </c>
      <c r="P37" s="5" t="n">
        <v>0.0214</v>
      </c>
      <c r="Q37" s="5" t="n">
        <v>0.1161</v>
      </c>
      <c r="R37" s="5" t="n">
        <v>0.1116</v>
      </c>
      <c r="S37" t="n">
        <v>14</v>
      </c>
    </row>
    <row r="38">
      <c r="A38" t="inlineStr">
        <is>
          <t>SMD</t>
        </is>
      </c>
      <c r="B38" t="n">
        <v>18</v>
      </c>
      <c r="C38" s="4" t="inlineStr">
        <is>
          <t>SMD 18 dG RA_2e_any</t>
        </is>
      </c>
      <c r="D38" t="inlineStr">
        <is>
          <t>ΔG ArX•⁻ + e⁻ → Ar⁻ + X⁻</t>
        </is>
      </c>
      <c r="E38" t="inlineStr">
        <is>
          <t>min_dG_RA_2e_any_kcal</t>
        </is>
      </c>
      <c r="F38" t="n">
        <v>7</v>
      </c>
      <c r="G38" s="5">
        <f>'SMD 18 dG RA_2e_any'!Q7</f>
        <v/>
      </c>
      <c r="H38" s="5">
        <f>'SMD 18 dG RA_2e_any'!Q5</f>
        <v/>
      </c>
      <c r="I38" s="5" t="n">
        <v>0.1955</v>
      </c>
      <c r="J38" s="5" t="n">
        <v>-0.1704</v>
      </c>
      <c r="K38" s="5" t="n">
        <v>-18.3873</v>
      </c>
      <c r="L38" s="5" t="n">
        <v>0.3205</v>
      </c>
      <c r="M38" s="5" t="n">
        <v>2.567</v>
      </c>
      <c r="N38" s="5" t="n">
        <v>-1.3665</v>
      </c>
      <c r="O38" s="5" t="n">
        <v>3.789</v>
      </c>
      <c r="P38" s="5" t="n">
        <v>0.2656</v>
      </c>
      <c r="Q38" s="5" t="n">
        <v>0.0294</v>
      </c>
      <c r="R38" s="5" t="n">
        <v>0.0347</v>
      </c>
      <c r="S38" t="n">
        <v>14</v>
      </c>
    </row>
    <row r="39">
      <c r="A39" t="inlineStr">
        <is>
          <t>SMD</t>
        </is>
      </c>
      <c r="B39" t="n">
        <v>19</v>
      </c>
      <c r="C39" s="4" t="inlineStr">
        <is>
          <t>SMD 19 LUMO_RA</t>
        </is>
      </c>
      <c r="D39" t="inlineStr">
        <is>
          <t>LUMO of the radical anion ArX•⁻</t>
        </is>
      </c>
      <c r="E39" t="inlineStr">
        <is>
          <t>LUMO_RA_eV</t>
        </is>
      </c>
      <c r="F39" t="n">
        <v>7</v>
      </c>
      <c r="G39" s="5">
        <f>'SMD 19 LUMO_RA'!Q7</f>
        <v/>
      </c>
      <c r="H39" s="5">
        <f>'SMD 19 LUMO_RA'!Q5</f>
        <v/>
      </c>
      <c r="I39" s="5" t="n">
        <v>0.1122</v>
      </c>
      <c r="J39" s="5" t="n">
        <v>-1.8929</v>
      </c>
      <c r="K39" s="5" t="n">
        <v>-3.4021</v>
      </c>
      <c r="L39" s="5" t="n">
        <v>0.4628</v>
      </c>
      <c r="M39" s="5" t="n">
        <v>2.6968</v>
      </c>
      <c r="N39" s="5" t="n">
        <v>-0.7702</v>
      </c>
      <c r="O39" s="5" t="n">
        <v>1.963</v>
      </c>
      <c r="P39" s="5" t="n">
        <v>0.3594</v>
      </c>
      <c r="Q39" s="5" t="n">
        <v>0.2168</v>
      </c>
      <c r="R39" s="5" t="n">
        <v>0.2206</v>
      </c>
      <c r="S39" t="n">
        <v>14</v>
      </c>
    </row>
    <row r="40"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</row>
    <row r="41">
      <c r="A41" s="3" t="inlineStr">
        <is>
          <t>Two-descriptor models (MLR, static values)</t>
        </is>
      </c>
      <c r="B41" s="3" t="n"/>
      <c r="C41" s="3" t="n"/>
      <c r="D41" s="3" t="n"/>
      <c r="E41" s="3" t="n"/>
      <c r="F41" s="3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3" t="n"/>
    </row>
    <row r="42">
      <c r="A42" s="3" t="inlineStr">
        <is>
          <t>level</t>
        </is>
      </c>
      <c r="B42" s="3" t="inlineStr">
        <is>
          <t>fit set</t>
        </is>
      </c>
      <c r="C42" s="3" t="inlineStr">
        <is>
          <t>model</t>
        </is>
      </c>
      <c r="D42" s="3" t="inlineStr">
        <is>
          <t>n</t>
        </is>
      </c>
      <c r="E42" s="3" t="inlineStr">
        <is>
          <t>R²</t>
        </is>
      </c>
      <c r="F42" s="3" t="inlineStr">
        <is>
          <t>adj R²</t>
        </is>
      </c>
      <c r="G42" s="6" t="inlineStr">
        <is>
          <t>RMSE</t>
        </is>
      </c>
      <c r="H42" s="6" t="inlineStr">
        <is>
          <t>b0</t>
        </is>
      </c>
      <c r="I42" s="6" t="inlineStr">
        <is>
          <t>b1</t>
        </is>
      </c>
      <c r="J42" s="6" t="inlineStr">
        <is>
          <t>b2</t>
        </is>
      </c>
      <c r="K42" s="6" t="n"/>
      <c r="L42" s="6" t="n"/>
      <c r="M42" s="6" t="n"/>
      <c r="N42" s="6" t="n"/>
      <c r="O42" s="6" t="n"/>
      <c r="P42" s="6" t="n"/>
      <c r="Q42" s="6" t="n"/>
      <c r="R42" s="6" t="n"/>
      <c r="S42" s="3" t="n"/>
    </row>
    <row r="43">
      <c r="A43" t="inlineStr">
        <is>
          <t>gas</t>
        </is>
      </c>
      <c r="B43" t="inlineStr">
        <is>
          <t>bromobenzene</t>
        </is>
      </c>
      <c r="C43" t="inlineStr">
        <is>
          <t>MLR: ΔG ArX + e⁻ → ArX•⁻ + ΔG ArX•⁻ → Ar• + X⁻</t>
        </is>
      </c>
      <c r="D43" t="n">
        <v>7</v>
      </c>
      <c r="E43" t="n">
        <v>0.9721</v>
      </c>
      <c r="F43" t="n">
        <v>0.9581</v>
      </c>
      <c r="G43" s="5" t="n">
        <v>0.4784</v>
      </c>
      <c r="H43" s="5" t="n">
        <v>-0.3639</v>
      </c>
      <c r="I43" s="5" t="n">
        <v>0.7254</v>
      </c>
      <c r="J43" s="5" t="n">
        <v>1.3914</v>
      </c>
      <c r="K43" s="5" t="n"/>
      <c r="L43" s="5" t="n"/>
      <c r="M43" s="5" t="n"/>
      <c r="N43" s="5" t="n"/>
      <c r="O43" s="5" t="n"/>
      <c r="P43" s="5" t="n"/>
      <c r="Q43" s="5" t="n"/>
      <c r="R43" s="5" t="n"/>
    </row>
    <row r="44">
      <c r="A44" t="inlineStr">
        <is>
          <t>gas</t>
        </is>
      </c>
      <c r="B44" t="inlineStr">
        <is>
          <t>bromobenzene</t>
        </is>
      </c>
      <c r="C44" t="inlineStr">
        <is>
          <t>MLR: ΔG ArX + e⁻ → ArX•⁻ + ΔG ArX•⁻ + e⁻ → Ar⁻ + X⁻</t>
        </is>
      </c>
      <c r="D44" t="n">
        <v>7</v>
      </c>
      <c r="E44" t="n">
        <v>0.9313</v>
      </c>
      <c r="F44" t="n">
        <v>0.897</v>
      </c>
      <c r="G44" s="5" t="n">
        <v>0.75</v>
      </c>
      <c r="H44" s="5" t="n">
        <v>-13.3378</v>
      </c>
      <c r="I44" s="5" t="n">
        <v>-0.0286</v>
      </c>
      <c r="J44" s="5" t="n">
        <v>-0.3109</v>
      </c>
      <c r="K44" s="5" t="n"/>
      <c r="L44" s="5" t="n"/>
      <c r="M44" s="5" t="n"/>
      <c r="N44" s="5" t="n"/>
      <c r="O44" s="5" t="n"/>
      <c r="P44" s="5" t="n"/>
      <c r="Q44" s="5" t="n"/>
      <c r="R44" s="5" t="n"/>
    </row>
    <row r="45">
      <c r="A45" t="inlineStr">
        <is>
          <t>gas</t>
        </is>
      </c>
      <c r="B45" t="inlineStr">
        <is>
          <t>chlorobenzene</t>
        </is>
      </c>
      <c r="C45" t="inlineStr">
        <is>
          <t>MLR: ΔG ArX + e⁻ → ArX•⁻ + ΔG ArX•⁻ → Ar• + X⁻</t>
        </is>
      </c>
      <c r="D45" t="n">
        <v>5</v>
      </c>
      <c r="E45" t="n">
        <v>0.8625</v>
      </c>
      <c r="F45" t="n">
        <v>0.725</v>
      </c>
      <c r="G45" s="5" t="n">
        <v>1.0406</v>
      </c>
      <c r="H45" s="5" t="n">
        <v>-3.8191</v>
      </c>
      <c r="I45" s="5" t="n">
        <v>-1.1173</v>
      </c>
      <c r="J45" s="5" t="n">
        <v>-1.023</v>
      </c>
      <c r="K45" s="5" t="n"/>
      <c r="L45" s="5" t="n"/>
      <c r="M45" s="5" t="n"/>
      <c r="N45" s="5" t="n"/>
      <c r="O45" s="5" t="n"/>
      <c r="P45" s="5" t="n"/>
      <c r="Q45" s="5" t="n"/>
      <c r="R45" s="5" t="n"/>
    </row>
    <row r="46">
      <c r="A46" t="inlineStr">
        <is>
          <t>gas</t>
        </is>
      </c>
      <c r="B46" t="inlineStr">
        <is>
          <t>chlorobenzene</t>
        </is>
      </c>
      <c r="C46" t="inlineStr">
        <is>
          <t>MLR: ΔG ArX + e⁻ → ArX•⁻ + ΔG ArX•⁻ + e⁻ → Ar⁻ + X⁻</t>
        </is>
      </c>
      <c r="D46" t="n">
        <v>5</v>
      </c>
      <c r="E46" t="n">
        <v>0.8548</v>
      </c>
      <c r="F46" t="n">
        <v>0.7095</v>
      </c>
      <c r="G46" s="5" t="n">
        <v>1.0695</v>
      </c>
      <c r="H46" s="5" t="n">
        <v>-3.6127</v>
      </c>
      <c r="I46" s="5" t="n">
        <v>-0.2405</v>
      </c>
      <c r="J46" s="5" t="n">
        <v>0.0291</v>
      </c>
      <c r="K46" s="5" t="n"/>
      <c r="L46" s="5" t="n"/>
      <c r="M46" s="5" t="n"/>
      <c r="N46" s="5" t="n"/>
      <c r="O46" s="5" t="n"/>
      <c r="P46" s="5" t="n"/>
      <c r="Q46" s="5" t="n"/>
      <c r="R46" s="5" t="n"/>
    </row>
    <row r="47">
      <c r="A47" t="inlineStr">
        <is>
          <t>gas</t>
        </is>
      </c>
      <c r="B47" t="inlineStr">
        <is>
          <t>halobenzene</t>
        </is>
      </c>
      <c r="C47" t="inlineStr">
        <is>
          <t>MLR: ΔG ArX + e⁻ → ArX•⁻ + ΔG ArX•⁻ → Ar• + X⁻</t>
        </is>
      </c>
      <c r="D47" t="n">
        <v>12</v>
      </c>
      <c r="E47" t="n">
        <v>0.8562</v>
      </c>
      <c r="F47" t="n">
        <v>0.8243</v>
      </c>
      <c r="G47" s="5" t="n">
        <v>1.083</v>
      </c>
      <c r="H47" s="5" t="n">
        <v>-5.3783</v>
      </c>
      <c r="I47" s="5" t="n">
        <v>-0.0786</v>
      </c>
      <c r="J47" s="5" t="n">
        <v>0.2196</v>
      </c>
      <c r="K47" s="5" t="n"/>
      <c r="L47" s="5" t="n"/>
      <c r="M47" s="5" t="n"/>
      <c r="N47" s="5" t="n"/>
      <c r="O47" s="5" t="n"/>
      <c r="P47" s="5" t="n"/>
      <c r="Q47" s="5" t="n"/>
      <c r="R47" s="5" t="n"/>
    </row>
    <row r="48">
      <c r="A48" t="inlineStr">
        <is>
          <t>gas</t>
        </is>
      </c>
      <c r="B48" t="inlineStr">
        <is>
          <t>halobenzene</t>
        </is>
      </c>
      <c r="C48" t="inlineStr">
        <is>
          <t>MLR: ΔG ArX + e⁻ → ArX•⁻ + ΔG ArX•⁻ + e⁻ → Ar⁻ + X⁻</t>
        </is>
      </c>
      <c r="D48" t="n">
        <v>12</v>
      </c>
      <c r="E48" t="n">
        <v>0.8772</v>
      </c>
      <c r="F48" t="n">
        <v>0.8499</v>
      </c>
      <c r="G48" s="5" t="n">
        <v>1.0009</v>
      </c>
      <c r="H48" s="5" t="n">
        <v>-10.0327</v>
      </c>
      <c r="I48" s="5" t="n">
        <v>-0.1693</v>
      </c>
      <c r="J48" s="5" t="n">
        <v>-0.1382</v>
      </c>
      <c r="K48" s="5" t="n"/>
      <c r="L48" s="5" t="n"/>
      <c r="M48" s="5" t="n"/>
      <c r="N48" s="5" t="n"/>
      <c r="O48" s="5" t="n"/>
      <c r="P48" s="5" t="n"/>
      <c r="Q48" s="5" t="n"/>
      <c r="R48" s="5" t="n"/>
    </row>
    <row r="49">
      <c r="A49" t="inlineStr">
        <is>
          <t>gas</t>
        </is>
      </c>
      <c r="B49" t="inlineStr">
        <is>
          <t>all</t>
        </is>
      </c>
      <c r="C49" t="inlineStr">
        <is>
          <t>MLR: ΔG ArX + e⁻ → ArX•⁻ + ΔG ArX•⁻ → Ar• + X⁻</t>
        </is>
      </c>
      <c r="D49" t="n">
        <v>14</v>
      </c>
      <c r="E49" t="n">
        <v>0.8179999999999999</v>
      </c>
      <c r="F49" t="n">
        <v>0.7849</v>
      </c>
      <c r="G49" s="5" t="n">
        <v>1.1375</v>
      </c>
      <c r="H49" s="5" t="n">
        <v>-5.3819</v>
      </c>
      <c r="I49" s="5" t="n">
        <v>-0.06270000000000001</v>
      </c>
      <c r="J49" s="5" t="n">
        <v>0.2284</v>
      </c>
      <c r="K49" s="5" t="n"/>
      <c r="L49" s="5" t="n"/>
      <c r="M49" s="5" t="n"/>
      <c r="N49" s="5" t="n"/>
      <c r="O49" s="5" t="n"/>
      <c r="P49" s="5" t="n"/>
      <c r="Q49" s="5" t="n"/>
      <c r="R49" s="5" t="n"/>
    </row>
    <row r="50">
      <c r="A50" t="inlineStr">
        <is>
          <t>gas</t>
        </is>
      </c>
      <c r="B50" t="inlineStr">
        <is>
          <t>all</t>
        </is>
      </c>
      <c r="C50" t="inlineStr">
        <is>
          <t>MLR: ΔG ArX + e⁻ → ArX•⁻ + ΔG ArX•⁻ + e⁻ → Ar⁻ + X⁻</t>
        </is>
      </c>
      <c r="D50" t="n">
        <v>14</v>
      </c>
      <c r="E50" t="n">
        <v>0.7793</v>
      </c>
      <c r="F50" t="n">
        <v>0.7392</v>
      </c>
      <c r="G50" s="5" t="n">
        <v>1.2527</v>
      </c>
      <c r="H50" s="5" t="n">
        <v>-8.321199999999999</v>
      </c>
      <c r="I50" s="5" t="n">
        <v>-0.1709</v>
      </c>
      <c r="J50" s="5" t="n">
        <v>-0.08550000000000001</v>
      </c>
      <c r="K50" s="5" t="n"/>
      <c r="L50" s="5" t="n"/>
      <c r="M50" s="5" t="n"/>
      <c r="N50" s="5" t="n"/>
      <c r="O50" s="5" t="n"/>
      <c r="P50" s="5" t="n"/>
      <c r="Q50" s="5" t="n"/>
      <c r="R50" s="5" t="n"/>
    </row>
    <row r="51">
      <c r="A51" t="inlineStr">
        <is>
          <t>SMD</t>
        </is>
      </c>
      <c r="B51" t="inlineStr">
        <is>
          <t>bromobenzene</t>
        </is>
      </c>
      <c r="C51" t="inlineStr">
        <is>
          <t>MLR: ΔG ArX + e⁻ → ArX•⁻ + ΔG ArX•⁻ → Ar• + X⁻</t>
        </is>
      </c>
      <c r="D51" t="n">
        <v>7</v>
      </c>
      <c r="E51" t="n">
        <v>0.726</v>
      </c>
      <c r="F51" t="n">
        <v>0.589</v>
      </c>
      <c r="G51" s="5" t="n">
        <v>1.4981</v>
      </c>
      <c r="H51" s="5" t="n">
        <v>-52.7187</v>
      </c>
      <c r="I51" s="5" t="n">
        <v>-0.8371</v>
      </c>
      <c r="J51" s="5" t="n">
        <v>-0.7786999999999999</v>
      </c>
      <c r="K51" s="5" t="n"/>
      <c r="L51" s="5" t="n"/>
      <c r="M51" s="5" t="n"/>
      <c r="N51" s="5" t="n"/>
      <c r="O51" s="5" t="n"/>
      <c r="P51" s="5" t="n"/>
      <c r="Q51" s="5" t="n"/>
      <c r="R51" s="5" t="n"/>
    </row>
    <row r="52">
      <c r="A52" t="inlineStr">
        <is>
          <t>SMD</t>
        </is>
      </c>
      <c r="B52" t="inlineStr">
        <is>
          <t>bromobenzene</t>
        </is>
      </c>
      <c r="C52" t="inlineStr">
        <is>
          <t>MLR: ΔG ArX + e⁻ → ArX•⁻ + ΔG ArX•⁻ + e⁻ → Ar⁻ + X⁻</t>
        </is>
      </c>
      <c r="D52" t="n">
        <v>7</v>
      </c>
      <c r="E52" t="n">
        <v>0.8603</v>
      </c>
      <c r="F52" t="n">
        <v>0.7905</v>
      </c>
      <c r="G52" s="5" t="n">
        <v>1.0696</v>
      </c>
      <c r="H52" s="5" t="n">
        <v>-40.4151</v>
      </c>
      <c r="I52" s="5" t="n">
        <v>-0.2577</v>
      </c>
      <c r="J52" s="5" t="n">
        <v>-0.242</v>
      </c>
      <c r="K52" s="5" t="n"/>
      <c r="L52" s="5" t="n"/>
      <c r="M52" s="5" t="n"/>
      <c r="N52" s="5" t="n"/>
      <c r="O52" s="5" t="n"/>
      <c r="P52" s="5" t="n"/>
      <c r="Q52" s="5" t="n"/>
      <c r="R52" s="5" t="n"/>
    </row>
    <row r="53">
      <c r="A53" t="inlineStr">
        <is>
          <t>SMD</t>
        </is>
      </c>
      <c r="B53" t="inlineStr">
        <is>
          <t>chlorobenzene</t>
        </is>
      </c>
      <c r="C53" t="inlineStr">
        <is>
          <t>MLR: ΔG ArX + e⁻ → ArX•⁻ + ΔG ArX•⁻ → Ar• + X⁻</t>
        </is>
      </c>
      <c r="D53" t="n">
        <v>5</v>
      </c>
      <c r="E53" t="n">
        <v>0.9863</v>
      </c>
      <c r="F53" t="n">
        <v>0.9727</v>
      </c>
      <c r="G53" s="5" t="n">
        <v>0.3282</v>
      </c>
      <c r="H53" s="5" t="n">
        <v>-223.5149</v>
      </c>
      <c r="I53" s="5" t="n">
        <v>-3.4187</v>
      </c>
      <c r="J53" s="5" t="n">
        <v>-3.6583</v>
      </c>
      <c r="K53" s="5" t="n"/>
      <c r="L53" s="5" t="n"/>
      <c r="M53" s="5" t="n"/>
      <c r="N53" s="5" t="n"/>
      <c r="O53" s="5" t="n"/>
      <c r="P53" s="5" t="n"/>
      <c r="Q53" s="5" t="n"/>
      <c r="R53" s="5" t="n"/>
    </row>
    <row r="54">
      <c r="A54" t="inlineStr">
        <is>
          <t>SMD</t>
        </is>
      </c>
      <c r="B54" t="inlineStr">
        <is>
          <t>chlorobenzene</t>
        </is>
      </c>
      <c r="C54" t="inlineStr">
        <is>
          <t>MLR: ΔG ArX + e⁻ → ArX•⁻ + ΔG ArX•⁻ + e⁻ → Ar⁻ + X⁻</t>
        </is>
      </c>
      <c r="D54" t="n">
        <v>5</v>
      </c>
      <c r="E54" t="n">
        <v>0.9635</v>
      </c>
      <c r="F54" t="n">
        <v>0.927</v>
      </c>
      <c r="G54" s="5" t="n">
        <v>0.5363</v>
      </c>
      <c r="H54" s="5" t="n">
        <v>-68.66459999999999</v>
      </c>
      <c r="I54" s="5" t="n">
        <v>-0.2096</v>
      </c>
      <c r="J54" s="5" t="n">
        <v>-0.4823</v>
      </c>
      <c r="K54" s="5" t="n"/>
      <c r="L54" s="5" t="n"/>
      <c r="M54" s="5" t="n"/>
      <c r="N54" s="5" t="n"/>
      <c r="O54" s="5" t="n"/>
      <c r="P54" s="5" t="n"/>
      <c r="Q54" s="5" t="n"/>
      <c r="R54" s="5" t="n"/>
    </row>
    <row r="55">
      <c r="A55" t="inlineStr">
        <is>
          <t>SMD</t>
        </is>
      </c>
      <c r="B55" t="inlineStr">
        <is>
          <t>halobenzene</t>
        </is>
      </c>
      <c r="C55" t="inlineStr">
        <is>
          <t>MLR: ΔG ArX + e⁻ → ArX•⁻ + ΔG ArX•⁻ → Ar• + X⁻</t>
        </is>
      </c>
      <c r="D55" t="n">
        <v>12</v>
      </c>
      <c r="E55" t="n">
        <v>0.6462</v>
      </c>
      <c r="F55" t="n">
        <v>0.5676</v>
      </c>
      <c r="G55" s="5" t="n">
        <v>1.6989</v>
      </c>
      <c r="H55" s="5" t="n">
        <v>-40.3745</v>
      </c>
      <c r="I55" s="5" t="n">
        <v>-0.6326000000000001</v>
      </c>
      <c r="J55" s="5" t="n">
        <v>-0.4981</v>
      </c>
      <c r="K55" s="5" t="n"/>
      <c r="L55" s="5" t="n"/>
      <c r="M55" s="5" t="n"/>
      <c r="N55" s="5" t="n"/>
      <c r="O55" s="5" t="n"/>
      <c r="P55" s="5" t="n"/>
      <c r="Q55" s="5" t="n"/>
      <c r="R55" s="5" t="n"/>
    </row>
    <row r="56">
      <c r="A56" t="inlineStr">
        <is>
          <t>SMD</t>
        </is>
      </c>
      <c r="B56" t="inlineStr">
        <is>
          <t>halobenzene</t>
        </is>
      </c>
      <c r="C56" t="inlineStr">
        <is>
          <t>MLR: ΔG ArX + e⁻ → ArX•⁻ + ΔG ArX•⁻ + e⁻ → Ar⁻ + X⁻</t>
        </is>
      </c>
      <c r="D56" t="n">
        <v>12</v>
      </c>
      <c r="E56" t="n">
        <v>0.7055</v>
      </c>
      <c r="F56" t="n">
        <v>0.64</v>
      </c>
      <c r="G56" s="5" t="n">
        <v>1.5502</v>
      </c>
      <c r="H56" s="5" t="n">
        <v>-29.2129</v>
      </c>
      <c r="I56" s="5" t="n">
        <v>-0.2342</v>
      </c>
      <c r="J56" s="5" t="n">
        <v>-0.1363</v>
      </c>
      <c r="K56" s="5" t="n"/>
      <c r="L56" s="5" t="n"/>
      <c r="M56" s="5" t="n"/>
      <c r="N56" s="5" t="n"/>
      <c r="O56" s="5" t="n"/>
      <c r="P56" s="5" t="n"/>
      <c r="Q56" s="5" t="n"/>
      <c r="R56" s="5" t="n"/>
    </row>
    <row r="57">
      <c r="A57" t="inlineStr">
        <is>
          <t>SMD</t>
        </is>
      </c>
      <c r="B57" t="inlineStr">
        <is>
          <t>all</t>
        </is>
      </c>
      <c r="C57" t="inlineStr">
        <is>
          <t>MLR: ΔG ArX + e⁻ → ArX•⁻ + ΔG ArX•⁻ → Ar• + X⁻</t>
        </is>
      </c>
      <c r="D57" t="n">
        <v>14</v>
      </c>
      <c r="E57" t="n">
        <v>0.6289</v>
      </c>
      <c r="F57" t="n">
        <v>0.5614</v>
      </c>
      <c r="G57" s="5" t="n">
        <v>1.6245</v>
      </c>
      <c r="H57" s="5" t="n">
        <v>-38.9372</v>
      </c>
      <c r="I57" s="5" t="n">
        <v>-0.6111</v>
      </c>
      <c r="J57" s="5" t="n">
        <v>-0.4725</v>
      </c>
      <c r="K57" s="5" t="n"/>
      <c r="L57" s="5" t="n"/>
      <c r="M57" s="5" t="n"/>
      <c r="N57" s="5" t="n"/>
      <c r="O57" s="5" t="n"/>
      <c r="P57" s="5" t="n"/>
      <c r="Q57" s="5" t="n"/>
      <c r="R57" s="5" t="n"/>
    </row>
    <row r="58">
      <c r="A58" t="inlineStr">
        <is>
          <t>SMD</t>
        </is>
      </c>
      <c r="B58" t="inlineStr">
        <is>
          <t>all</t>
        </is>
      </c>
      <c r="C58" t="inlineStr">
        <is>
          <t>MLR: ΔG ArX + e⁻ → ArX•⁻ + ΔG ArX•⁻ + e⁻ → Ar⁻ + X⁻</t>
        </is>
      </c>
      <c r="D58" t="n">
        <v>14</v>
      </c>
      <c r="E58" t="n">
        <v>0.6965</v>
      </c>
      <c r="F58" t="n">
        <v>0.6413</v>
      </c>
      <c r="G58" s="5" t="n">
        <v>1.469</v>
      </c>
      <c r="H58" s="5" t="n">
        <v>-29.1464</v>
      </c>
      <c r="I58" s="5" t="n">
        <v>-0.231</v>
      </c>
      <c r="J58" s="5" t="n">
        <v>-0.1364</v>
      </c>
      <c r="K58" s="5" t="n"/>
      <c r="L58" s="5" t="n"/>
      <c r="M58" s="5" t="n"/>
      <c r="N58" s="5" t="n"/>
      <c r="O58" s="5" t="n"/>
      <c r="P58" s="5" t="n"/>
      <c r="Q58" s="5" t="n"/>
      <c r="R58" s="5" t="n"/>
    </row>
  </sheetData>
  <mergeCells count="1">
    <mergeCell ref="A2:P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3" r:id="rId19"/>
    <hyperlink xmlns:r="http://schemas.openxmlformats.org/officeDocument/2006/relationships" ref="C24" r:id="rId20"/>
    <hyperlink xmlns:r="http://schemas.openxmlformats.org/officeDocument/2006/relationships" ref="C25" r:id="rId21"/>
    <hyperlink xmlns:r="http://schemas.openxmlformats.org/officeDocument/2006/relationships" ref="C26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3" t="inlineStr">
        <is>
          <t>level</t>
        </is>
      </c>
      <c r="B1" s="3" t="inlineStr">
        <is>
          <t>compound</t>
        </is>
      </c>
      <c r="C1" s="3" t="inlineStr">
        <is>
          <t>label</t>
        </is>
      </c>
      <c r="D1" s="3" t="inlineStr">
        <is>
          <t>species</t>
        </is>
      </c>
      <c r="E1" s="3" t="inlineStr">
        <is>
          <t>group</t>
        </is>
      </c>
      <c r="F1" s="3" t="inlineStr">
        <is>
          <t>kobs (1/h)</t>
        </is>
      </c>
      <c r="G1" s="3" t="inlineStr">
        <is>
          <t>SE (1/h)</t>
        </is>
      </c>
      <c r="H1" s="3" t="inlineStr">
        <is>
          <t>ln kobs</t>
        </is>
      </c>
      <c r="I1" s="3" t="inlineStr">
        <is>
          <t>LUMO_eV</t>
        </is>
      </c>
      <c r="J1" s="3" t="inlineStr">
        <is>
          <t>LUMO_RA_eV</t>
        </is>
      </c>
      <c r="K1" s="3" t="inlineStr">
        <is>
          <t>min_dG_1e_kcal</t>
        </is>
      </c>
      <c r="L1" s="3" t="inlineStr">
        <is>
          <t>min_dG_2e_carbanion_kcal</t>
        </is>
      </c>
      <c r="M1" s="3" t="inlineStr">
        <is>
          <t>dG_ET_any_kcal</t>
        </is>
      </c>
      <c r="N1" s="3" t="inlineStr">
        <is>
          <t>min_dG_frag_any_kcal</t>
        </is>
      </c>
      <c r="O1" s="3" t="inlineStr">
        <is>
          <t>min_dG_RA_2e_any_kcal</t>
        </is>
      </c>
      <c r="P1" s="3" t="inlineStr">
        <is>
          <t>n_X</t>
        </is>
      </c>
      <c r="Q1" s="3" t="inlineStr">
        <is>
          <t>VEA_eV</t>
        </is>
      </c>
      <c r="R1" s="3" t="inlineStr">
        <is>
          <t>AEA_elec_eV</t>
        </is>
      </c>
      <c r="S1" s="3" t="inlineStr">
        <is>
          <t>omega_dSCF_eV</t>
        </is>
      </c>
      <c r="T1" s="3" t="inlineStr">
        <is>
          <t>E_ET_V</t>
        </is>
      </c>
      <c r="U1" s="3" t="inlineStr">
        <is>
          <t>dG_ET_kcal</t>
        </is>
      </c>
      <c r="V1" s="3" t="inlineStr">
        <is>
          <t>min_dG_frag_kcal</t>
        </is>
      </c>
      <c r="W1" s="3" t="inlineStr">
        <is>
          <t>min_dG_RA_2e_kcal</t>
        </is>
      </c>
      <c r="X1" s="3" t="inlineStr">
        <is>
          <t>min_dG_2e_HDH_kcal</t>
        </is>
      </c>
      <c r="Y1" s="3" t="inlineStr">
        <is>
          <t>min_dG_rad_red_kcal</t>
        </is>
      </c>
      <c r="Z1" s="3" t="inlineStr">
        <is>
          <t>lambda_i_kcal</t>
        </is>
      </c>
      <c r="AA1" s="3" t="inlineStr">
        <is>
          <t>min_BDE_kcal</t>
        </is>
      </c>
      <c r="AB1" s="3" t="inlineStr">
        <is>
          <t>min_dG0_act_concerted_kcal</t>
        </is>
      </c>
      <c r="AC1" s="3" t="inlineStr">
        <is>
          <t>eff_dG_act_concerted_kcal @ -2.00 V</t>
        </is>
      </c>
      <c r="AD1" s="3" t="inlineStr">
        <is>
          <t>eff_dG_act_combined_kcal @ -2.00 V</t>
        </is>
      </c>
      <c r="AE1" s="3" t="inlineStr">
        <is>
          <t>max_fplus_CX</t>
        </is>
      </c>
      <c r="AF1" s="3" t="inlineStr">
        <is>
          <t>min_wiberg_CX_parent</t>
        </is>
      </c>
      <c r="AG1" s="3" t="inlineStr">
        <is>
          <t>max_spin_RA_X</t>
        </is>
      </c>
      <c r="AH1" s="3" t="inlineStr">
        <is>
          <t>max_dr_CX_RA_A</t>
        </is>
      </c>
    </row>
    <row r="2">
      <c r="A2" t="inlineStr">
        <is>
          <t>gas</t>
        </is>
      </c>
      <c r="B2" t="inlineStr">
        <is>
          <t>Bromobenzene</t>
        </is>
      </c>
      <c r="C2" t="inlineStr">
        <is>
          <t>MonoBr</t>
        </is>
      </c>
      <c r="D2" t="inlineStr">
        <is>
          <t>BrBz_1</t>
        </is>
      </c>
      <c r="E2" t="inlineStr">
        <is>
          <t>bromobenzene</t>
        </is>
      </c>
      <c r="F2" t="n">
        <v>0.002</v>
      </c>
      <c r="G2" t="n">
        <v>0.00021</v>
      </c>
      <c r="H2" t="n">
        <v>-6.2146</v>
      </c>
      <c r="I2" t="n">
        <v>-0.11</v>
      </c>
      <c r="J2" t="n">
        <v>2.169</v>
      </c>
      <c r="K2" t="n">
        <v>-8.09</v>
      </c>
      <c r="L2" t="n">
        <v>-31.81</v>
      </c>
      <c r="M2" t="n">
        <v>-8.039999999999999</v>
      </c>
      <c r="N2" t="n">
        <v>-0.05</v>
      </c>
      <c r="O2" t="n">
        <v>-23.77</v>
      </c>
      <c r="P2" t="n">
        <v>1</v>
      </c>
      <c r="Q2" t="n">
        <v>-0.76</v>
      </c>
      <c r="S2" t="n">
        <v>0.898</v>
      </c>
      <c r="X2" t="n">
        <v>-420.73</v>
      </c>
      <c r="Y2" t="n">
        <v>-23.72</v>
      </c>
      <c r="AA2" t="n">
        <v>77.11</v>
      </c>
      <c r="AE2" t="n">
        <v>0.0911</v>
      </c>
      <c r="AF2" t="n">
        <v>1.041</v>
      </c>
      <c r="AH2" t="n">
        <v>1.0136</v>
      </c>
    </row>
    <row r="3">
      <c r="A3" t="inlineStr">
        <is>
          <t>gas</t>
        </is>
      </c>
      <c r="B3" t="inlineStr">
        <is>
          <t>1,4-Dibromobenzene</t>
        </is>
      </c>
      <c r="C3" t="inlineStr">
        <is>
          <t>1,4-DiBr</t>
        </is>
      </c>
      <c r="D3" t="inlineStr">
        <is>
          <t>BrBz_14</t>
        </is>
      </c>
      <c r="E3" t="inlineStr">
        <is>
          <t>bromobenzene</t>
        </is>
      </c>
      <c r="F3" t="n">
        <v>0.012</v>
      </c>
      <c r="G3" t="n">
        <v>0.0014</v>
      </c>
      <c r="H3" t="n">
        <v>-4.4228</v>
      </c>
      <c r="I3" t="n">
        <v>-0.299</v>
      </c>
      <c r="J3" t="n">
        <v>2.427</v>
      </c>
      <c r="K3" t="n">
        <v>-8.65</v>
      </c>
      <c r="L3" t="n">
        <v>-42.18</v>
      </c>
      <c r="M3" t="n">
        <v>-13.4</v>
      </c>
      <c r="N3" t="n">
        <v>4.75</v>
      </c>
      <c r="O3" t="n">
        <v>-28.78</v>
      </c>
      <c r="P3" t="n">
        <v>2</v>
      </c>
      <c r="Q3" t="n">
        <v>-1.072</v>
      </c>
      <c r="S3" t="n">
        <v>0.791</v>
      </c>
      <c r="X3" t="n">
        <v>-423.09</v>
      </c>
      <c r="Y3" t="n">
        <v>-33.53</v>
      </c>
      <c r="AA3" t="n">
        <v>76.95999999999999</v>
      </c>
      <c r="AE3" t="n">
        <v>0.3699</v>
      </c>
      <c r="AF3" t="n">
        <v>1.0456</v>
      </c>
      <c r="AH3" t="n">
        <v>0.0234</v>
      </c>
    </row>
    <row r="4">
      <c r="A4" t="inlineStr">
        <is>
          <t>gas</t>
        </is>
      </c>
      <c r="B4" t="inlineStr">
        <is>
          <t>1,3-Dibromobenzene</t>
        </is>
      </c>
      <c r="C4" t="inlineStr">
        <is>
          <t>1,3-DiBr</t>
        </is>
      </c>
      <c r="D4" t="inlineStr">
        <is>
          <t>BrBz_13</t>
        </is>
      </c>
      <c r="E4" t="inlineStr">
        <is>
          <t>bromobenzene</t>
        </is>
      </c>
      <c r="F4" t="n">
        <v>0.0329</v>
      </c>
      <c r="G4" t="n">
        <v>0.0031</v>
      </c>
      <c r="H4" t="n">
        <v>-3.4143</v>
      </c>
      <c r="I4" t="n">
        <v>-0.273</v>
      </c>
      <c r="J4" t="n">
        <v>2.2403</v>
      </c>
      <c r="K4" t="n">
        <v>-9.35</v>
      </c>
      <c r="L4" t="n">
        <v>-44.74</v>
      </c>
      <c r="M4" t="n">
        <v>-14.25</v>
      </c>
      <c r="N4" t="n">
        <v>4.91</v>
      </c>
      <c r="O4" t="n">
        <v>-30.49</v>
      </c>
      <c r="P4" t="n">
        <v>2</v>
      </c>
      <c r="Q4" t="n">
        <v>-0.638</v>
      </c>
      <c r="S4" t="n">
        <v>0.9419999999999999</v>
      </c>
      <c r="X4" t="n">
        <v>-422.85</v>
      </c>
      <c r="Y4" t="n">
        <v>-35.4</v>
      </c>
      <c r="AA4" t="n">
        <v>76.31999999999999</v>
      </c>
      <c r="AE4" t="n">
        <v>0.1425</v>
      </c>
      <c r="AF4" t="n">
        <v>1.0467</v>
      </c>
      <c r="AH4" t="n">
        <v>0.0336</v>
      </c>
    </row>
    <row r="5">
      <c r="A5" t="inlineStr">
        <is>
          <t>gas</t>
        </is>
      </c>
      <c r="B5" t="inlineStr">
        <is>
          <t>1,2,4-Tribromobenzene</t>
        </is>
      </c>
      <c r="C5" t="inlineStr">
        <is>
          <t>1,2,4-TriBr</t>
        </is>
      </c>
      <c r="D5" t="inlineStr">
        <is>
          <t>BrBz_124</t>
        </is>
      </c>
      <c r="E5" t="inlineStr">
        <is>
          <t>bromobenzene</t>
        </is>
      </c>
      <c r="F5" t="n">
        <v>0.55</v>
      </c>
      <c r="G5" t="n">
        <v>0.082</v>
      </c>
      <c r="H5" t="n">
        <v>-0.5978</v>
      </c>
      <c r="I5" t="n">
        <v>-0.546</v>
      </c>
      <c r="J5" t="n">
        <v>2.2202</v>
      </c>
      <c r="K5" t="n">
        <v>-10.52</v>
      </c>
      <c r="L5" t="n">
        <v>-62.05</v>
      </c>
      <c r="M5" t="n">
        <v>-21.29</v>
      </c>
      <c r="N5" t="n">
        <v>10.77</v>
      </c>
      <c r="O5" t="n">
        <v>-40.76</v>
      </c>
      <c r="P5" t="n">
        <v>3</v>
      </c>
      <c r="Q5" t="n">
        <v>-0.252</v>
      </c>
      <c r="S5" t="n">
        <v>1.054</v>
      </c>
      <c r="X5" t="n">
        <v>-425.07</v>
      </c>
      <c r="Y5" t="n">
        <v>-51.53</v>
      </c>
      <c r="AA5" t="n">
        <v>74.89</v>
      </c>
      <c r="AE5" t="n">
        <v>0.2598</v>
      </c>
      <c r="AF5" t="n">
        <v>1.0499</v>
      </c>
      <c r="AH5" t="n">
        <v>0.6785</v>
      </c>
    </row>
    <row r="6">
      <c r="A6" t="inlineStr">
        <is>
          <t>gas</t>
        </is>
      </c>
      <c r="B6" t="inlineStr">
        <is>
          <t>1,3,5-Tribromobenzene</t>
        </is>
      </c>
      <c r="C6" t="inlineStr">
        <is>
          <t>1,3,5-TriBr</t>
        </is>
      </c>
      <c r="D6" t="inlineStr">
        <is>
          <t>BrBz_135</t>
        </is>
      </c>
      <c r="E6" t="inlineStr">
        <is>
          <t>bromobenzene</t>
        </is>
      </c>
      <c r="F6" t="n">
        <v>0.9</v>
      </c>
      <c r="G6" t="n">
        <v>0.15</v>
      </c>
      <c r="H6" t="n">
        <v>-0.1054</v>
      </c>
      <c r="I6" t="n">
        <v>-0.587</v>
      </c>
      <c r="J6" t="n">
        <v>2.1902</v>
      </c>
      <c r="K6" t="n">
        <v>-10.28</v>
      </c>
      <c r="L6" t="n">
        <v>-56.2</v>
      </c>
      <c r="M6" t="n">
        <v>-20.94</v>
      </c>
      <c r="N6" t="n">
        <v>10.67</v>
      </c>
      <c r="O6" t="n">
        <v>-35.26</v>
      </c>
      <c r="P6" t="n">
        <v>3</v>
      </c>
      <c r="Q6" t="n">
        <v>-0.2</v>
      </c>
      <c r="S6" t="n">
        <v>1.115</v>
      </c>
      <c r="X6" t="n">
        <v>-424.28</v>
      </c>
      <c r="Y6" t="n">
        <v>-45.93</v>
      </c>
      <c r="AA6" t="n">
        <v>75.65000000000001</v>
      </c>
      <c r="AE6" t="n">
        <v>0.1441</v>
      </c>
      <c r="AF6" t="n">
        <v>1.0515</v>
      </c>
      <c r="AH6" t="n">
        <v>0.7074</v>
      </c>
    </row>
    <row r="7">
      <c r="A7" t="inlineStr">
        <is>
          <t>gas</t>
        </is>
      </c>
      <c r="B7" t="inlineStr">
        <is>
          <t>1,2,4,5-Tetrabromobenzene</t>
        </is>
      </c>
      <c r="C7" t="inlineStr">
        <is>
          <t>1,2,4,5-TetrBr</t>
        </is>
      </c>
      <c r="D7" t="inlineStr">
        <is>
          <t>BrBz_1245</t>
        </is>
      </c>
      <c r="E7" t="inlineStr">
        <is>
          <t>bromobenzene</t>
        </is>
      </c>
      <c r="F7" t="n">
        <v>2.5</v>
      </c>
      <c r="G7" t="n">
        <v>0.28</v>
      </c>
      <c r="H7" t="n">
        <v>0.9163</v>
      </c>
      <c r="I7" t="n">
        <v>-0.794</v>
      </c>
      <c r="J7" t="n">
        <v>2.0588</v>
      </c>
      <c r="K7" t="n">
        <v>-11.14</v>
      </c>
      <c r="L7" t="n">
        <v>-68.02</v>
      </c>
      <c r="M7" t="n">
        <v>-25.56</v>
      </c>
      <c r="N7" t="n">
        <v>14.43</v>
      </c>
      <c r="O7" t="n">
        <v>-42.46</v>
      </c>
      <c r="P7" t="n">
        <v>4</v>
      </c>
      <c r="Q7" t="n">
        <v>0.056</v>
      </c>
      <c r="S7" t="n">
        <v>1.165</v>
      </c>
      <c r="X7" t="n">
        <v>-426.76</v>
      </c>
      <c r="Y7" t="n">
        <v>-56.88</v>
      </c>
      <c r="AA7" t="n">
        <v>75.09999999999999</v>
      </c>
      <c r="AE7" t="n">
        <v>0.1556</v>
      </c>
      <c r="AF7" t="n">
        <v>1.0586</v>
      </c>
      <c r="AH7" t="n">
        <v>0.0172</v>
      </c>
    </row>
    <row r="8">
      <c r="A8" t="inlineStr">
        <is>
          <t>gas</t>
        </is>
      </c>
      <c r="B8" t="inlineStr">
        <is>
          <t>Hexabromobenzene</t>
        </is>
      </c>
      <c r="C8" t="inlineStr">
        <is>
          <t>HexaBr</t>
        </is>
      </c>
      <c r="D8" t="inlineStr">
        <is>
          <t>BrBz_123456</t>
        </is>
      </c>
      <c r="E8" t="inlineStr">
        <is>
          <t>bromobenzene</t>
        </is>
      </c>
      <c r="F8" t="n">
        <v>10</v>
      </c>
      <c r="G8" t="n">
        <v>1.3</v>
      </c>
      <c r="H8" t="n">
        <v>2.3026</v>
      </c>
      <c r="I8" t="n">
        <v>-1.601</v>
      </c>
      <c r="J8" t="n">
        <v>1.3208</v>
      </c>
      <c r="K8" t="n">
        <v>-16.9</v>
      </c>
      <c r="L8" t="n">
        <v>-88.01000000000001</v>
      </c>
      <c r="M8" t="n">
        <v>-39.5</v>
      </c>
      <c r="N8" t="n">
        <v>22.6</v>
      </c>
      <c r="O8" t="n">
        <v>-48.51</v>
      </c>
      <c r="P8" t="n">
        <v>6</v>
      </c>
      <c r="Q8" t="n">
        <v>0.876</v>
      </c>
      <c r="R8" t="n">
        <v>1.451</v>
      </c>
      <c r="S8" t="n">
        <v>1.534</v>
      </c>
      <c r="U8" t="n">
        <v>-39.5</v>
      </c>
      <c r="V8" t="n">
        <v>22.6</v>
      </c>
      <c r="W8" t="n">
        <v>-48.51</v>
      </c>
      <c r="X8" t="n">
        <v>-432.03</v>
      </c>
      <c r="Y8" t="n">
        <v>-71.11</v>
      </c>
      <c r="Z8" t="n">
        <v>27.77</v>
      </c>
      <c r="AA8" t="n">
        <v>69.97</v>
      </c>
      <c r="AE8" t="n">
        <v>0.1667</v>
      </c>
      <c r="AF8" t="n">
        <v>1.0669</v>
      </c>
      <c r="AG8" t="n">
        <v>0.08734</v>
      </c>
      <c r="AH8" t="n">
        <v>0.0665</v>
      </c>
    </row>
    <row r="9">
      <c r="A9" t="inlineStr">
        <is>
          <t>gas</t>
        </is>
      </c>
      <c r="B9" t="inlineStr">
        <is>
          <t>BDE-47</t>
        </is>
      </c>
      <c r="C9" t="inlineStr">
        <is>
          <t>BDE-47</t>
        </is>
      </c>
      <c r="D9" t="inlineStr">
        <is>
          <t>BDE_24_24</t>
        </is>
      </c>
      <c r="E9" t="inlineStr">
        <is>
          <t>pbde</t>
        </is>
      </c>
      <c r="F9" t="n">
        <v>0.078</v>
      </c>
      <c r="G9" t="n">
        <v>0.018</v>
      </c>
      <c r="H9" t="n">
        <v>-2.551</v>
      </c>
      <c r="I9" t="n">
        <v>-0.723</v>
      </c>
      <c r="J9" t="n">
        <v>2.0662</v>
      </c>
      <c r="K9" t="n">
        <v>-9.76</v>
      </c>
      <c r="L9" t="n">
        <v>-69.77</v>
      </c>
      <c r="M9" t="n">
        <v>-23.73</v>
      </c>
      <c r="N9" t="n">
        <v>13.97</v>
      </c>
      <c r="O9" t="n">
        <v>-46.03</v>
      </c>
      <c r="P9" t="n">
        <v>4</v>
      </c>
      <c r="Q9" t="n">
        <v>0.042</v>
      </c>
      <c r="S9" t="n">
        <v>1.098</v>
      </c>
      <c r="X9" t="n">
        <v>-424.42</v>
      </c>
      <c r="Y9" t="n">
        <v>-60</v>
      </c>
      <c r="AA9" t="n">
        <v>76.05</v>
      </c>
      <c r="AE9" t="n">
        <v>0.1005</v>
      </c>
      <c r="AF9" t="n">
        <v>1.043</v>
      </c>
      <c r="AH9" t="n">
        <v>0.0103</v>
      </c>
    </row>
    <row r="10">
      <c r="A10" t="inlineStr">
        <is>
          <t>gas</t>
        </is>
      </c>
      <c r="B10" t="inlineStr">
        <is>
          <t>BDE-99</t>
        </is>
      </c>
      <c r="C10" t="inlineStr">
        <is>
          <t>BDE-99</t>
        </is>
      </c>
      <c r="D10" t="inlineStr">
        <is>
          <t>BDE_245_24</t>
        </is>
      </c>
      <c r="E10" t="inlineStr">
        <is>
          <t>pbde</t>
        </is>
      </c>
      <c r="F10" t="n">
        <v>0.45</v>
      </c>
      <c r="G10" t="n">
        <v>0.068</v>
      </c>
      <c r="H10" t="n">
        <v>-0.7985</v>
      </c>
      <c r="I10" t="n">
        <v>-0.83</v>
      </c>
      <c r="J10" t="n">
        <v>1.9143</v>
      </c>
      <c r="K10" t="n">
        <v>-10.15</v>
      </c>
      <c r="L10" t="n">
        <v>-79.58</v>
      </c>
      <c r="M10" t="n">
        <v>-24.65</v>
      </c>
      <c r="N10" t="n">
        <v>14.49</v>
      </c>
      <c r="O10" t="n">
        <v>-54.93</v>
      </c>
      <c r="P10" t="n">
        <v>5</v>
      </c>
      <c r="Q10" t="n">
        <v>0.192</v>
      </c>
      <c r="R10" t="n">
        <v>0.96</v>
      </c>
      <c r="S10" t="n">
        <v>1.162</v>
      </c>
      <c r="U10" t="n">
        <v>-24.65</v>
      </c>
      <c r="V10" t="n">
        <v>14.49</v>
      </c>
      <c r="W10" t="n">
        <v>-54.93</v>
      </c>
      <c r="X10" t="n">
        <v>-425.59</v>
      </c>
      <c r="Y10" t="n">
        <v>-70.03</v>
      </c>
      <c r="Z10" t="n">
        <v>72.73999999999999</v>
      </c>
      <c r="AA10" t="n">
        <v>75.23</v>
      </c>
      <c r="AE10" t="n">
        <v>0.1321</v>
      </c>
      <c r="AF10" t="n">
        <v>1.0492</v>
      </c>
      <c r="AG10" t="n">
        <v>0.3616</v>
      </c>
      <c r="AH10" t="n">
        <v>0.7017</v>
      </c>
    </row>
    <row r="11">
      <c r="A11" t="inlineStr">
        <is>
          <t>gas</t>
        </is>
      </c>
      <c r="B11" t="inlineStr">
        <is>
          <t>Hexachlorobenzene</t>
        </is>
      </c>
      <c r="C11" t="inlineStr">
        <is>
          <t>HexaCl</t>
        </is>
      </c>
      <c r="D11" t="inlineStr">
        <is>
          <t>ClBz_123456</t>
        </is>
      </c>
      <c r="E11" t="inlineStr">
        <is>
          <t>chlorobenzene</t>
        </is>
      </c>
      <c r="F11" t="n">
        <v>4.739304239</v>
      </c>
      <c r="H11" t="n">
        <v>1.5559</v>
      </c>
      <c r="I11" t="n">
        <v>-0.948</v>
      </c>
      <c r="J11" t="n">
        <v>2.1696</v>
      </c>
      <c r="K11" t="n">
        <v>-2.78</v>
      </c>
      <c r="L11" t="n">
        <v>-73.47</v>
      </c>
      <c r="M11" t="n">
        <v>-25.14</v>
      </c>
      <c r="N11" t="n">
        <v>22.36</v>
      </c>
      <c r="O11" t="n">
        <v>-48.33</v>
      </c>
      <c r="P11" t="n">
        <v>6</v>
      </c>
      <c r="Q11" t="n">
        <v>0.242</v>
      </c>
      <c r="R11" t="n">
        <v>0.9370000000000001</v>
      </c>
      <c r="S11" t="n">
        <v>1.288</v>
      </c>
      <c r="U11" t="n">
        <v>-25.14</v>
      </c>
      <c r="V11" t="n">
        <v>22.36</v>
      </c>
      <c r="W11" t="n">
        <v>-48.33</v>
      </c>
      <c r="X11" t="n">
        <v>-419.86</v>
      </c>
      <c r="Y11" t="n">
        <v>-70.69</v>
      </c>
      <c r="Z11" t="n">
        <v>34.38</v>
      </c>
      <c r="AA11" t="n">
        <v>91.03</v>
      </c>
      <c r="AE11" t="n">
        <v>0.2309</v>
      </c>
      <c r="AF11" t="n">
        <v>1.0898</v>
      </c>
      <c r="AG11" t="n">
        <v>0.07141</v>
      </c>
      <c r="AH11" t="n">
        <v>0.0532</v>
      </c>
    </row>
    <row r="12">
      <c r="A12" t="inlineStr">
        <is>
          <t>gas</t>
        </is>
      </c>
      <c r="B12" t="inlineStr">
        <is>
          <t>Pentachlorobenzene</t>
        </is>
      </c>
      <c r="C12" t="inlineStr">
        <is>
          <t>PentaCl</t>
        </is>
      </c>
      <c r="D12" t="inlineStr">
        <is>
          <t>ClBz_12345</t>
        </is>
      </c>
      <c r="E12" t="inlineStr">
        <is>
          <t>chlorobenzene</t>
        </is>
      </c>
      <c r="F12" t="n">
        <v>0.197935943</v>
      </c>
      <c r="H12" t="n">
        <v>-1.6198</v>
      </c>
      <c r="I12" t="n">
        <v>-0.85</v>
      </c>
      <c r="J12" t="n">
        <v>2.1222</v>
      </c>
      <c r="K12" t="n">
        <v>-1.53</v>
      </c>
      <c r="L12" t="n">
        <v>-68.67</v>
      </c>
      <c r="M12" t="n">
        <v>-20.78</v>
      </c>
      <c r="N12" t="n">
        <v>19.25</v>
      </c>
      <c r="O12" t="n">
        <v>-47.89</v>
      </c>
      <c r="P12" t="n">
        <v>5</v>
      </c>
      <c r="Q12" t="n">
        <v>0.081</v>
      </c>
      <c r="R12" t="n">
        <v>0.762</v>
      </c>
      <c r="S12" t="n">
        <v>1.212</v>
      </c>
      <c r="U12" t="n">
        <v>-20.78</v>
      </c>
      <c r="V12" t="n">
        <v>19.25</v>
      </c>
      <c r="W12" t="n">
        <v>-47.89</v>
      </c>
      <c r="X12" t="n">
        <v>-417.97</v>
      </c>
      <c r="Y12" t="n">
        <v>-67.14</v>
      </c>
      <c r="Z12" t="n">
        <v>65.48999999999999</v>
      </c>
      <c r="AA12" t="n">
        <v>91.2</v>
      </c>
      <c r="AE12" t="n">
        <v>0.2358</v>
      </c>
      <c r="AF12" t="n">
        <v>1.08</v>
      </c>
      <c r="AG12" t="n">
        <v>0.36801</v>
      </c>
      <c r="AH12" t="n">
        <v>0.5429</v>
      </c>
    </row>
    <row r="13">
      <c r="A13" t="inlineStr">
        <is>
          <t>gas</t>
        </is>
      </c>
      <c r="B13" t="inlineStr">
        <is>
          <t>1,2,4,5-Tetrachlorobenzene</t>
        </is>
      </c>
      <c r="C13" t="inlineStr">
        <is>
          <t>1,2,4,5-TetraCl</t>
        </is>
      </c>
      <c r="D13" t="inlineStr">
        <is>
          <t>ClBz_1245</t>
        </is>
      </c>
      <c r="E13" t="inlineStr">
        <is>
          <t>chlorobenzene</t>
        </is>
      </c>
      <c r="F13" t="n">
        <v>0.295230167</v>
      </c>
      <c r="H13" t="n">
        <v>-1.22</v>
      </c>
      <c r="I13" t="n">
        <v>-0.745</v>
      </c>
      <c r="J13" t="n">
        <v>3.0294</v>
      </c>
      <c r="K13" t="n">
        <v>-0.27</v>
      </c>
      <c r="L13" t="n">
        <v>-54.94</v>
      </c>
      <c r="M13" t="n">
        <v>-9.35</v>
      </c>
      <c r="N13" t="n">
        <v>9.08</v>
      </c>
      <c r="O13" t="n">
        <v>-45.58</v>
      </c>
      <c r="P13" t="n">
        <v>4</v>
      </c>
      <c r="Q13" t="n">
        <v>-0.09</v>
      </c>
      <c r="R13" t="n">
        <v>0.21</v>
      </c>
      <c r="S13" t="n">
        <v>1.135</v>
      </c>
      <c r="U13" t="n">
        <v>-9.35</v>
      </c>
      <c r="V13" t="n">
        <v>9.08</v>
      </c>
      <c r="W13" t="n">
        <v>-45.58</v>
      </c>
      <c r="X13" t="n">
        <v>-416.53</v>
      </c>
      <c r="Y13" t="n">
        <v>-54.67</v>
      </c>
      <c r="Z13" t="n">
        <v>19.45</v>
      </c>
      <c r="AA13" t="n">
        <v>93.13</v>
      </c>
      <c r="AE13" t="n">
        <v>0.1501</v>
      </c>
      <c r="AF13" t="n">
        <v>1.0771</v>
      </c>
      <c r="AG13" t="n">
        <v>0.04014</v>
      </c>
      <c r="AH13" t="n">
        <v>0.0483</v>
      </c>
    </row>
    <row r="14">
      <c r="A14" t="inlineStr">
        <is>
          <t>gas</t>
        </is>
      </c>
      <c r="B14" t="inlineStr">
        <is>
          <t>1,2-Dichlorobenzene</t>
        </is>
      </c>
      <c r="C14" t="inlineStr">
        <is>
          <t>1,2-DiCl</t>
        </is>
      </c>
      <c r="D14" t="inlineStr">
        <is>
          <t>ClBz_12</t>
        </is>
      </c>
      <c r="E14" t="inlineStr">
        <is>
          <t>chlorobenzene</t>
        </is>
      </c>
      <c r="F14" t="n">
        <v>0.042852127</v>
      </c>
      <c r="H14" t="n">
        <v>-3.15</v>
      </c>
      <c r="I14" t="n">
        <v>-0.158</v>
      </c>
      <c r="J14" t="n">
        <v>2.233</v>
      </c>
      <c r="K14" t="n">
        <v>0.5</v>
      </c>
      <c r="L14" t="n">
        <v>-39.66</v>
      </c>
      <c r="M14" t="n">
        <v>-4.66</v>
      </c>
      <c r="N14" t="n">
        <v>5.15</v>
      </c>
      <c r="O14" t="n">
        <v>-35.01</v>
      </c>
      <c r="P14" t="n">
        <v>2</v>
      </c>
      <c r="Q14" t="n">
        <v>-0.791</v>
      </c>
      <c r="S14" t="n">
        <v>0.905</v>
      </c>
      <c r="X14" t="n">
        <v>-414.55</v>
      </c>
      <c r="Y14" t="n">
        <v>-40.16</v>
      </c>
      <c r="AA14" t="n">
        <v>93.47</v>
      </c>
      <c r="AE14" t="n">
        <v>0.1588</v>
      </c>
      <c r="AF14" t="n">
        <v>1.0691</v>
      </c>
      <c r="AH14" t="n">
        <v>0.7839</v>
      </c>
    </row>
    <row r="15">
      <c r="A15" t="inlineStr">
        <is>
          <t>gas</t>
        </is>
      </c>
      <c r="B15" t="inlineStr">
        <is>
          <t>1,4-Dichlorobenzene</t>
        </is>
      </c>
      <c r="C15" t="inlineStr">
        <is>
          <t>1,4-DiCl</t>
        </is>
      </c>
      <c r="D15" t="inlineStr">
        <is>
          <t>ClBz_14</t>
        </is>
      </c>
      <c r="E15" t="inlineStr">
        <is>
          <t>chlorobenzene</t>
        </is>
      </c>
      <c r="F15" t="n">
        <v>0.000905247</v>
      </c>
      <c r="H15" t="n">
        <v>-7.0073</v>
      </c>
      <c r="I15" t="n">
        <v>-0.236</v>
      </c>
      <c r="J15" t="n">
        <v>3.0384</v>
      </c>
      <c r="K15" t="n">
        <v>1.52</v>
      </c>
      <c r="L15" t="n">
        <v>-30.91</v>
      </c>
      <c r="M15" t="n">
        <v>6.5</v>
      </c>
      <c r="N15" t="n">
        <v>-4.97</v>
      </c>
      <c r="O15" t="n">
        <v>-37.41</v>
      </c>
      <c r="P15" t="n">
        <v>2</v>
      </c>
      <c r="Q15" t="n">
        <v>-0.72</v>
      </c>
      <c r="R15" t="n">
        <v>-0.492</v>
      </c>
      <c r="S15" t="n">
        <v>0.911</v>
      </c>
      <c r="U15" t="n">
        <v>6.5</v>
      </c>
      <c r="V15" t="n">
        <v>-4.97</v>
      </c>
      <c r="W15" t="n">
        <v>-37.41</v>
      </c>
      <c r="X15" t="n">
        <v>-413.02</v>
      </c>
      <c r="Y15" t="n">
        <v>-32.43</v>
      </c>
      <c r="Z15" t="n">
        <v>13.3</v>
      </c>
      <c r="AA15" t="n">
        <v>94.37</v>
      </c>
      <c r="AE15" t="n">
        <v>0.1423</v>
      </c>
      <c r="AF15" t="n">
        <v>1.0586</v>
      </c>
      <c r="AG15" t="n">
        <v>0.02006</v>
      </c>
      <c r="AH15" t="n">
        <v>0.0516</v>
      </c>
    </row>
    <row r="16">
      <c r="A16" t="inlineStr">
        <is>
          <t>SMD</t>
        </is>
      </c>
      <c r="B16" t="inlineStr">
        <is>
          <t>Bromobenzene</t>
        </is>
      </c>
      <c r="C16" t="inlineStr">
        <is>
          <t>MonoBr</t>
        </is>
      </c>
      <c r="D16" t="inlineStr">
        <is>
          <t>BrBz_1</t>
        </is>
      </c>
      <c r="E16" t="inlineStr">
        <is>
          <t>bromobenzene</t>
        </is>
      </c>
      <c r="F16" t="n">
        <v>0.002</v>
      </c>
      <c r="G16" t="n">
        <v>0.00021</v>
      </c>
      <c r="H16" t="n">
        <v>-6.2146</v>
      </c>
      <c r="I16" t="n">
        <v>0.108</v>
      </c>
      <c r="J16" t="n">
        <v>-1.3622</v>
      </c>
      <c r="K16" t="n">
        <v>-58.53</v>
      </c>
      <c r="L16" t="n">
        <v>-143.45</v>
      </c>
      <c r="M16" t="n">
        <v>-57.07</v>
      </c>
      <c r="N16" t="n">
        <v>-1.45</v>
      </c>
      <c r="O16" t="n">
        <v>-86.37</v>
      </c>
      <c r="P16" t="n">
        <v>1</v>
      </c>
      <c r="Q16" t="n">
        <v>0.995</v>
      </c>
      <c r="S16" t="n">
        <v>1.339</v>
      </c>
      <c r="X16" t="n">
        <v>-208.14</v>
      </c>
      <c r="Y16" t="n">
        <v>-84.92</v>
      </c>
      <c r="AA16" t="n">
        <v>77.27</v>
      </c>
      <c r="AB16" t="n">
        <v>27.21</v>
      </c>
      <c r="AC16" t="n">
        <v>24.32</v>
      </c>
      <c r="AD16" t="n">
        <v>24.32</v>
      </c>
      <c r="AE16" t="n">
        <v>0.1078</v>
      </c>
      <c r="AF16" t="n">
        <v>1.0326</v>
      </c>
      <c r="AH16" t="n">
        <v>2.9934</v>
      </c>
    </row>
    <row r="17">
      <c r="A17" t="inlineStr">
        <is>
          <t>SMD</t>
        </is>
      </c>
      <c r="B17" t="inlineStr">
        <is>
          <t>1,4-Dibromobenzene</t>
        </is>
      </c>
      <c r="C17" t="inlineStr">
        <is>
          <t>1,4-DiBr</t>
        </is>
      </c>
      <c r="D17" t="inlineStr">
        <is>
          <t>BrBz_14</t>
        </is>
      </c>
      <c r="E17" t="inlineStr">
        <is>
          <t>bromobenzene</t>
        </is>
      </c>
      <c r="F17" t="n">
        <v>0.012</v>
      </c>
      <c r="G17" t="n">
        <v>0.0014</v>
      </c>
      <c r="H17" t="n">
        <v>-4.4228</v>
      </c>
      <c r="I17" t="n">
        <v>-0.129</v>
      </c>
      <c r="J17" t="n">
        <v>0.09470000000000001</v>
      </c>
      <c r="K17" t="n">
        <v>-59.17</v>
      </c>
      <c r="L17" t="n">
        <v>-147.54</v>
      </c>
      <c r="M17" t="n">
        <v>-38.03</v>
      </c>
      <c r="N17" t="n">
        <v>-21.14</v>
      </c>
      <c r="O17" t="n">
        <v>-109.51</v>
      </c>
      <c r="P17" t="n">
        <v>2</v>
      </c>
      <c r="Q17" t="n">
        <v>1.228</v>
      </c>
      <c r="R17" t="n">
        <v>1.454</v>
      </c>
      <c r="S17" t="n">
        <v>1.48</v>
      </c>
      <c r="T17" t="n">
        <v>-2.632</v>
      </c>
      <c r="U17" t="n">
        <v>-38.03</v>
      </c>
      <c r="V17" t="n">
        <v>-21.14</v>
      </c>
      <c r="W17" t="n">
        <v>-109.51</v>
      </c>
      <c r="X17" t="n">
        <v>-210.15</v>
      </c>
      <c r="Y17" t="n">
        <v>-88.37</v>
      </c>
      <c r="Z17" t="n">
        <v>13.75</v>
      </c>
      <c r="AA17" t="n">
        <v>77.02</v>
      </c>
      <c r="AB17" t="n">
        <v>26.73</v>
      </c>
      <c r="AC17" t="n">
        <v>23.12932</v>
      </c>
      <c r="AD17" t="n">
        <v>23.12932</v>
      </c>
      <c r="AE17" t="n">
        <v>0.1148</v>
      </c>
      <c r="AF17" t="n">
        <v>1.0385</v>
      </c>
      <c r="AG17" t="n">
        <v>0.03368</v>
      </c>
      <c r="AH17" t="n">
        <v>0.0447</v>
      </c>
    </row>
    <row r="18">
      <c r="A18" t="inlineStr">
        <is>
          <t>SMD</t>
        </is>
      </c>
      <c r="B18" t="inlineStr">
        <is>
          <t>1,3-Dibromobenzene</t>
        </is>
      </c>
      <c r="C18" t="inlineStr">
        <is>
          <t>1,3-DiBr</t>
        </is>
      </c>
      <c r="D18" t="inlineStr">
        <is>
          <t>BrBz_13</t>
        </is>
      </c>
      <c r="E18" t="inlineStr">
        <is>
          <t>bromobenzene</t>
        </is>
      </c>
      <c r="F18" t="n">
        <v>0.0329</v>
      </c>
      <c r="G18" t="n">
        <v>0.0031</v>
      </c>
      <c r="H18" t="n">
        <v>-3.4143</v>
      </c>
      <c r="I18" t="n">
        <v>-0.101</v>
      </c>
      <c r="J18" t="n">
        <v>-0.9762999999999999</v>
      </c>
      <c r="K18" t="n">
        <v>-60.07</v>
      </c>
      <c r="L18" t="n">
        <v>-149.49</v>
      </c>
      <c r="M18" t="n">
        <v>-57.88</v>
      </c>
      <c r="N18" t="n">
        <v>-2.19</v>
      </c>
      <c r="O18" t="n">
        <v>-91.61</v>
      </c>
      <c r="P18" t="n">
        <v>2</v>
      </c>
      <c r="Q18" t="n">
        <v>1.243</v>
      </c>
      <c r="S18" t="n">
        <v>1.503</v>
      </c>
      <c r="X18" t="n">
        <v>-210.21</v>
      </c>
      <c r="Y18" t="n">
        <v>-89.42</v>
      </c>
      <c r="AA18" t="n">
        <v>76.25</v>
      </c>
      <c r="AB18" t="n">
        <v>26.53</v>
      </c>
      <c r="AC18" t="n">
        <v>22.51932</v>
      </c>
      <c r="AD18" t="n">
        <v>22.51932</v>
      </c>
      <c r="AE18" t="n">
        <v>0.1492</v>
      </c>
      <c r="AF18" t="n">
        <v>1.0397</v>
      </c>
      <c r="AH18" t="n">
        <v>0.0053</v>
      </c>
    </row>
    <row r="19">
      <c r="A19" t="inlineStr">
        <is>
          <t>SMD</t>
        </is>
      </c>
      <c r="B19" t="inlineStr">
        <is>
          <t>1,2,4-Tribromobenzene</t>
        </is>
      </c>
      <c r="C19" t="inlineStr">
        <is>
          <t>1,2,4-TriBr</t>
        </is>
      </c>
      <c r="D19" t="inlineStr">
        <is>
          <t>BrBz_124</t>
        </is>
      </c>
      <c r="E19" t="inlineStr">
        <is>
          <t>bromobenzene</t>
        </is>
      </c>
      <c r="F19" t="n">
        <v>0.55</v>
      </c>
      <c r="G19" t="n">
        <v>0.082</v>
      </c>
      <c r="H19" t="n">
        <v>-0.5978</v>
      </c>
      <c r="I19" t="n">
        <v>-0.355</v>
      </c>
      <c r="J19" t="n">
        <v>-0.8757</v>
      </c>
      <c r="K19" t="n">
        <v>-61.34</v>
      </c>
      <c r="L19" t="n">
        <v>-159.44</v>
      </c>
      <c r="M19" t="n">
        <v>-60.65</v>
      </c>
      <c r="N19" t="n">
        <v>-0.6899999999999999</v>
      </c>
      <c r="O19" t="n">
        <v>-98.79000000000001</v>
      </c>
      <c r="P19" t="n">
        <v>3</v>
      </c>
      <c r="Q19" t="n">
        <v>1.456</v>
      </c>
      <c r="S19" t="n">
        <v>1.641</v>
      </c>
      <c r="X19" t="n">
        <v>-212.51</v>
      </c>
      <c r="Y19" t="n">
        <v>-98.09999999999999</v>
      </c>
      <c r="AA19" t="n">
        <v>74.67</v>
      </c>
      <c r="AB19" t="n">
        <v>25.79</v>
      </c>
      <c r="AC19" t="n">
        <v>21.28974</v>
      </c>
      <c r="AD19" t="n">
        <v>21.28974</v>
      </c>
      <c r="AE19" t="n">
        <v>0.1495</v>
      </c>
      <c r="AF19" t="n">
        <v>1.0447</v>
      </c>
      <c r="AH19" t="n">
        <v>0.7661</v>
      </c>
    </row>
    <row r="20">
      <c r="A20" t="inlineStr">
        <is>
          <t>SMD</t>
        </is>
      </c>
      <c r="B20" t="inlineStr">
        <is>
          <t>1,3,5-Tribromobenzene</t>
        </is>
      </c>
      <c r="C20" t="inlineStr">
        <is>
          <t>1,3,5-TriBr</t>
        </is>
      </c>
      <c r="D20" t="inlineStr">
        <is>
          <t>BrBz_135</t>
        </is>
      </c>
      <c r="E20" t="inlineStr">
        <is>
          <t>bromobenzene</t>
        </is>
      </c>
      <c r="F20" t="n">
        <v>0.9</v>
      </c>
      <c r="G20" t="n">
        <v>0.15</v>
      </c>
      <c r="H20" t="n">
        <v>-0.1054</v>
      </c>
      <c r="I20" t="n">
        <v>-0.424</v>
      </c>
      <c r="J20" t="n">
        <v>-0.7437</v>
      </c>
      <c r="K20" t="n">
        <v>-60.43</v>
      </c>
      <c r="L20" t="n">
        <v>-154.81</v>
      </c>
      <c r="M20" t="n">
        <v>-59.76</v>
      </c>
      <c r="N20" t="n">
        <v>-0.67</v>
      </c>
      <c r="O20" t="n">
        <v>-95.04000000000001</v>
      </c>
      <c r="P20" t="n">
        <v>3</v>
      </c>
      <c r="Q20" t="n">
        <v>1.477</v>
      </c>
      <c r="S20" t="n">
        <v>1.678</v>
      </c>
      <c r="X20" t="n">
        <v>-211.53</v>
      </c>
      <c r="Y20" t="n">
        <v>-94.37</v>
      </c>
      <c r="AA20" t="n">
        <v>75.39</v>
      </c>
      <c r="AB20" t="n">
        <v>25.98</v>
      </c>
      <c r="AC20" t="n">
        <v>21.55909</v>
      </c>
      <c r="AD20" t="n">
        <v>21.55909</v>
      </c>
      <c r="AE20" t="n">
        <v>0.122</v>
      </c>
      <c r="AF20" t="n">
        <v>1.047</v>
      </c>
      <c r="AH20" t="n">
        <v>1.0271</v>
      </c>
    </row>
    <row r="21">
      <c r="A21" t="inlineStr">
        <is>
          <t>SMD</t>
        </is>
      </c>
      <c r="B21" t="inlineStr">
        <is>
          <t>1,2,4,5-Tetrabromobenzene</t>
        </is>
      </c>
      <c r="C21" t="inlineStr">
        <is>
          <t>1,2,4,5-TetrBr</t>
        </is>
      </c>
      <c r="D21" t="inlineStr">
        <is>
          <t>BrBz_1245</t>
        </is>
      </c>
      <c r="E21" t="inlineStr">
        <is>
          <t>bromobenzene</t>
        </is>
      </c>
      <c r="F21" t="n">
        <v>2.5</v>
      </c>
      <c r="G21" t="n">
        <v>0.28</v>
      </c>
      <c r="H21" t="n">
        <v>0.9163</v>
      </c>
      <c r="I21" t="n">
        <v>-0.646</v>
      </c>
      <c r="J21" t="n">
        <v>-0.975</v>
      </c>
      <c r="K21" t="n">
        <v>-62.05</v>
      </c>
      <c r="L21" t="n">
        <v>-163.23</v>
      </c>
      <c r="M21" t="n">
        <v>-63.06</v>
      </c>
      <c r="N21" t="n">
        <v>1.02</v>
      </c>
      <c r="O21" t="n">
        <v>-100.17</v>
      </c>
      <c r="P21" t="n">
        <v>4</v>
      </c>
      <c r="Q21" t="n">
        <v>1.69</v>
      </c>
      <c r="S21" t="n">
        <v>1.811</v>
      </c>
      <c r="X21" t="n">
        <v>-214.59</v>
      </c>
      <c r="Y21" t="n">
        <v>-101.19</v>
      </c>
      <c r="AA21" t="n">
        <v>74.73</v>
      </c>
      <c r="AB21" t="n">
        <v>25.53</v>
      </c>
      <c r="AC21" t="n">
        <v>20.19864</v>
      </c>
      <c r="AD21" t="n">
        <v>20.19864</v>
      </c>
      <c r="AE21" t="n">
        <v>0.1409</v>
      </c>
      <c r="AF21" t="n">
        <v>1.0553</v>
      </c>
      <c r="AH21" t="n">
        <v>0.008800000000000001</v>
      </c>
    </row>
    <row r="22">
      <c r="A22" t="inlineStr">
        <is>
          <t>SMD</t>
        </is>
      </c>
      <c r="B22" t="inlineStr">
        <is>
          <t>Hexabromobenzene</t>
        </is>
      </c>
      <c r="C22" t="inlineStr">
        <is>
          <t>HexaBr</t>
        </is>
      </c>
      <c r="D22" t="inlineStr">
        <is>
          <t>BrBz_123456</t>
        </is>
      </c>
      <c r="E22" t="inlineStr">
        <is>
          <t>bromobenzene</t>
        </is>
      </c>
      <c r="F22" t="n">
        <v>10</v>
      </c>
      <c r="G22" t="n">
        <v>1.3</v>
      </c>
      <c r="H22" t="n">
        <v>2.3026</v>
      </c>
      <c r="I22" t="n">
        <v>-1.572</v>
      </c>
      <c r="J22" t="n">
        <v>-1.6485</v>
      </c>
      <c r="K22" t="n">
        <v>-66.95999999999999</v>
      </c>
      <c r="L22" t="n">
        <v>-176.96</v>
      </c>
      <c r="M22" t="n">
        <v>-70.98999999999999</v>
      </c>
      <c r="N22" t="n">
        <v>4.03</v>
      </c>
      <c r="O22" t="n">
        <v>-105.97</v>
      </c>
      <c r="P22" t="n">
        <v>6</v>
      </c>
      <c r="Q22" t="n">
        <v>2.265</v>
      </c>
      <c r="R22" t="n">
        <v>2.941</v>
      </c>
      <c r="S22" t="n">
        <v>2.284</v>
      </c>
      <c r="T22" t="n">
        <v>-1.203</v>
      </c>
      <c r="U22" t="n">
        <v>-70.98999999999999</v>
      </c>
      <c r="V22" t="n">
        <v>4.03</v>
      </c>
      <c r="W22" t="n">
        <v>-105.97</v>
      </c>
      <c r="X22" t="n">
        <v>-218.95</v>
      </c>
      <c r="Y22" t="n">
        <v>-110</v>
      </c>
      <c r="Z22" t="n">
        <v>56.46</v>
      </c>
      <c r="AA22" t="n">
        <v>69.8</v>
      </c>
      <c r="AB22" t="n">
        <v>23.84</v>
      </c>
      <c r="AC22" t="n">
        <v>16.13841</v>
      </c>
      <c r="AD22" t="n">
        <v>16.13841</v>
      </c>
      <c r="AE22" t="n">
        <v>0.1666</v>
      </c>
      <c r="AF22" t="n">
        <v>1.0656</v>
      </c>
      <c r="AG22" t="n">
        <v>0.01853</v>
      </c>
      <c r="AH22" t="n">
        <v>0.0138</v>
      </c>
    </row>
    <row r="23">
      <c r="A23" t="inlineStr">
        <is>
          <t>SMD</t>
        </is>
      </c>
      <c r="B23" t="inlineStr">
        <is>
          <t>BDE-47</t>
        </is>
      </c>
      <c r="C23" t="inlineStr">
        <is>
          <t>BDE-47</t>
        </is>
      </c>
      <c r="D23" t="inlineStr">
        <is>
          <t>BDE_24_24</t>
        </is>
      </c>
      <c r="E23" t="inlineStr">
        <is>
          <t>pbde</t>
        </is>
      </c>
      <c r="F23" t="n">
        <v>0.078</v>
      </c>
      <c r="G23" t="n">
        <v>0.018</v>
      </c>
      <c r="H23" t="n">
        <v>-2.551</v>
      </c>
      <c r="I23" t="n">
        <v>-0.454</v>
      </c>
      <c r="J23" t="n">
        <v>-0.8188</v>
      </c>
      <c r="K23" t="n">
        <v>-60.93</v>
      </c>
      <c r="L23" t="n">
        <v>-162.15</v>
      </c>
      <c r="M23" t="n">
        <v>-58.98</v>
      </c>
      <c r="N23" t="n">
        <v>-1.95</v>
      </c>
      <c r="O23" t="n">
        <v>-103.17</v>
      </c>
      <c r="P23" t="n">
        <v>4</v>
      </c>
      <c r="Q23" t="n">
        <v>1.353</v>
      </c>
      <c r="S23" t="n">
        <v>1.537</v>
      </c>
      <c r="X23" t="n">
        <v>-212.25</v>
      </c>
      <c r="Y23" t="n">
        <v>-101.22</v>
      </c>
      <c r="AA23" t="n">
        <v>75.47</v>
      </c>
      <c r="AB23" t="n">
        <v>24.82</v>
      </c>
      <c r="AC23" t="n">
        <v>20.29653</v>
      </c>
      <c r="AD23" t="n">
        <v>20.29653</v>
      </c>
      <c r="AE23" t="n">
        <v>0.1289</v>
      </c>
      <c r="AF23" t="n">
        <v>1.0374</v>
      </c>
      <c r="AH23" t="n">
        <v>1.1574</v>
      </c>
    </row>
    <row r="24">
      <c r="A24" t="inlineStr">
        <is>
          <t>SMD</t>
        </is>
      </c>
      <c r="B24" t="inlineStr">
        <is>
          <t>BDE-99</t>
        </is>
      </c>
      <c r="C24" t="inlineStr">
        <is>
          <t>BDE-99</t>
        </is>
      </c>
      <c r="D24" t="inlineStr">
        <is>
          <t>BDE_245_24</t>
        </is>
      </c>
      <c r="E24" t="inlineStr">
        <is>
          <t>pbde</t>
        </is>
      </c>
      <c r="F24" t="n">
        <v>0.45</v>
      </c>
      <c r="G24" t="n">
        <v>0.068</v>
      </c>
      <c r="H24" t="n">
        <v>-0.7985</v>
      </c>
      <c r="I24" t="n">
        <v>-0.613</v>
      </c>
      <c r="J24" t="n">
        <v>-1.0289</v>
      </c>
      <c r="K24" t="n">
        <v>-60.71</v>
      </c>
      <c r="L24" t="n">
        <v>-168.45</v>
      </c>
      <c r="M24" t="n">
        <v>-58.32</v>
      </c>
      <c r="N24" t="n">
        <v>-2.39</v>
      </c>
      <c r="O24" t="n">
        <v>-110.13</v>
      </c>
      <c r="P24" t="n">
        <v>5</v>
      </c>
      <c r="Q24" t="n">
        <v>1.48</v>
      </c>
      <c r="R24" t="n">
        <v>2.452</v>
      </c>
      <c r="S24" t="n">
        <v>1.636</v>
      </c>
      <c r="T24" t="n">
        <v>-1.752</v>
      </c>
      <c r="U24" t="n">
        <v>-58.32</v>
      </c>
      <c r="V24" t="n">
        <v>-2.39</v>
      </c>
      <c r="W24" t="n">
        <v>-110.13</v>
      </c>
      <c r="X24" t="n">
        <v>-212.98</v>
      </c>
      <c r="Y24" t="n">
        <v>-108.56</v>
      </c>
      <c r="AA24" t="n">
        <v>74.88</v>
      </c>
      <c r="AB24" t="n">
        <v>24.54</v>
      </c>
      <c r="AC24" t="n">
        <v>20.17854</v>
      </c>
      <c r="AD24" t="n">
        <v>20.17854</v>
      </c>
      <c r="AE24" t="n">
        <v>0.1132</v>
      </c>
      <c r="AF24" t="n">
        <v>1.0422</v>
      </c>
      <c r="AH24" t="n">
        <v>0.7541</v>
      </c>
    </row>
    <row r="25">
      <c r="A25" t="inlineStr">
        <is>
          <t>SMD</t>
        </is>
      </c>
      <c r="B25" t="inlineStr">
        <is>
          <t>Hexachlorobenzene</t>
        </is>
      </c>
      <c r="C25" t="inlineStr">
        <is>
          <t>HexaCl</t>
        </is>
      </c>
      <c r="D25" t="inlineStr">
        <is>
          <t>ClBz_123456</t>
        </is>
      </c>
      <c r="E25" t="inlineStr">
        <is>
          <t>chlorobenzene</t>
        </is>
      </c>
      <c r="F25" t="n">
        <v>4.739304239</v>
      </c>
      <c r="H25" t="n">
        <v>1.5559</v>
      </c>
      <c r="I25" t="n">
        <v>-0.78</v>
      </c>
      <c r="J25" t="n">
        <v>-1.0397</v>
      </c>
      <c r="K25" t="n">
        <v>-65.64</v>
      </c>
      <c r="L25" t="n">
        <v>-180.17</v>
      </c>
      <c r="M25" t="n">
        <v>-63.14</v>
      </c>
      <c r="N25" t="n">
        <v>-2.5</v>
      </c>
      <c r="O25" t="n">
        <v>-117.03</v>
      </c>
      <c r="P25" t="n">
        <v>6</v>
      </c>
      <c r="Q25" t="n">
        <v>1.901</v>
      </c>
      <c r="R25" t="n">
        <v>2.538</v>
      </c>
      <c r="S25" t="n">
        <v>1.982</v>
      </c>
      <c r="T25" t="n">
        <v>-1.543</v>
      </c>
      <c r="U25" t="n">
        <v>-63.14</v>
      </c>
      <c r="V25" t="n">
        <v>-2.5</v>
      </c>
      <c r="W25" t="n">
        <v>-117.03</v>
      </c>
      <c r="X25" t="n">
        <v>-220</v>
      </c>
      <c r="Y25" t="n">
        <v>-114.54</v>
      </c>
      <c r="Z25" t="n">
        <v>32.79</v>
      </c>
      <c r="AA25" t="n">
        <v>91.34999999999999</v>
      </c>
      <c r="AB25" t="n">
        <v>29.54</v>
      </c>
      <c r="AC25" t="n">
        <v>22.32841</v>
      </c>
      <c r="AD25" t="n">
        <v>22.32841</v>
      </c>
      <c r="AE25" t="n">
        <v>0.2347</v>
      </c>
      <c r="AF25" t="n">
        <v>1.0858</v>
      </c>
      <c r="AG25" t="n">
        <v>0.07074999999999999</v>
      </c>
      <c r="AH25" t="n">
        <v>0.0492</v>
      </c>
    </row>
    <row r="26">
      <c r="A26" t="inlineStr">
        <is>
          <t>SMD</t>
        </is>
      </c>
      <c r="B26" t="inlineStr">
        <is>
          <t>Pentachlorobenzene</t>
        </is>
      </c>
      <c r="C26" t="inlineStr">
        <is>
          <t>PentaCl</t>
        </is>
      </c>
      <c r="D26" t="inlineStr">
        <is>
          <t>ClBz_12345</t>
        </is>
      </c>
      <c r="E26" t="inlineStr">
        <is>
          <t>chlorobenzene</t>
        </is>
      </c>
      <c r="F26" t="n">
        <v>0.197935943</v>
      </c>
      <c r="H26" t="n">
        <v>-1.6198</v>
      </c>
      <c r="I26" t="n">
        <v>-0.622</v>
      </c>
      <c r="J26" t="n">
        <v>-1.5758</v>
      </c>
      <c r="K26" t="n">
        <v>-65.01000000000001</v>
      </c>
      <c r="L26" t="n">
        <v>-177.44</v>
      </c>
      <c r="M26" t="n">
        <v>-65.34</v>
      </c>
      <c r="N26" t="n">
        <v>0.33</v>
      </c>
      <c r="O26" t="n">
        <v>-112.1</v>
      </c>
      <c r="P26" t="n">
        <v>5</v>
      </c>
      <c r="Q26" t="n">
        <v>1.782</v>
      </c>
      <c r="R26" t="n">
        <v>2.698</v>
      </c>
      <c r="S26" t="n">
        <v>1.881</v>
      </c>
      <c r="T26" t="n">
        <v>-1.448</v>
      </c>
      <c r="U26" t="n">
        <v>-65.34</v>
      </c>
      <c r="V26" t="n">
        <v>0.33</v>
      </c>
      <c r="W26" t="n">
        <v>-112.1</v>
      </c>
      <c r="X26" t="n">
        <v>-218.52</v>
      </c>
      <c r="Y26" t="n">
        <v>-112.43</v>
      </c>
      <c r="Z26" t="n">
        <v>81.84</v>
      </c>
      <c r="AA26" t="n">
        <v>91.56999999999999</v>
      </c>
      <c r="AB26" t="n">
        <v>29.79</v>
      </c>
      <c r="AC26" t="n">
        <v>23.30434</v>
      </c>
      <c r="AD26" t="n">
        <v>23.30434</v>
      </c>
      <c r="AE26" t="n">
        <v>0.2327</v>
      </c>
      <c r="AF26" t="n">
        <v>1.0752</v>
      </c>
      <c r="AG26" t="n">
        <v>0.3096</v>
      </c>
      <c r="AH26" t="n">
        <v>0.7349</v>
      </c>
    </row>
    <row r="27">
      <c r="A27" t="inlineStr">
        <is>
          <t>SMD</t>
        </is>
      </c>
      <c r="B27" t="inlineStr">
        <is>
          <t>1,2,4,5-Tetrachlorobenzene</t>
        </is>
      </c>
      <c r="C27" t="inlineStr">
        <is>
          <t>1,2,4,5-TetraCl</t>
        </is>
      </c>
      <c r="D27" t="inlineStr">
        <is>
          <t>ClBz_1245</t>
        </is>
      </c>
      <c r="E27" t="inlineStr">
        <is>
          <t>chlorobenzene</t>
        </is>
      </c>
      <c r="F27" t="n">
        <v>0.295230167</v>
      </c>
      <c r="H27" t="n">
        <v>-1.22</v>
      </c>
      <c r="I27" t="n">
        <v>-0.47</v>
      </c>
      <c r="J27" t="n">
        <v>-0.0639</v>
      </c>
      <c r="K27" t="n">
        <v>-63.8</v>
      </c>
      <c r="L27" t="n">
        <v>-166.28</v>
      </c>
      <c r="M27" t="n">
        <v>-48.54</v>
      </c>
      <c r="N27" t="n">
        <v>-15.26</v>
      </c>
      <c r="O27" t="n">
        <v>-117.74</v>
      </c>
      <c r="P27" t="n">
        <v>4</v>
      </c>
      <c r="Q27" t="n">
        <v>1.664</v>
      </c>
      <c r="R27" t="n">
        <v>1.905</v>
      </c>
      <c r="S27" t="n">
        <v>1.783</v>
      </c>
      <c r="T27" t="n">
        <v>-2.176</v>
      </c>
      <c r="U27" t="n">
        <v>-48.54</v>
      </c>
      <c r="V27" t="n">
        <v>-15.26</v>
      </c>
      <c r="W27" t="n">
        <v>-117.74</v>
      </c>
      <c r="X27" t="n">
        <v>-217.06</v>
      </c>
      <c r="Y27" t="n">
        <v>-102.48</v>
      </c>
      <c r="Z27" t="n">
        <v>15.49</v>
      </c>
      <c r="AA27" t="n">
        <v>93.41</v>
      </c>
      <c r="AB27" t="n">
        <v>30.47</v>
      </c>
      <c r="AC27" t="n">
        <v>24.30864</v>
      </c>
      <c r="AD27" t="n">
        <v>24.30864</v>
      </c>
      <c r="AE27" t="n">
        <v>0.1362</v>
      </c>
      <c r="AF27" t="n">
        <v>1.07</v>
      </c>
      <c r="AG27" t="n">
        <v>0.02793</v>
      </c>
      <c r="AH27" t="n">
        <v>0.0312</v>
      </c>
    </row>
    <row r="28">
      <c r="A28" t="inlineStr">
        <is>
          <t>SMD</t>
        </is>
      </c>
      <c r="B28" t="inlineStr">
        <is>
          <t>1,2-Dichlorobenzene</t>
        </is>
      </c>
      <c r="C28" t="inlineStr">
        <is>
          <t>1,2-DiCl</t>
        </is>
      </c>
      <c r="D28" t="inlineStr">
        <is>
          <t>ClBz_12</t>
        </is>
      </c>
      <c r="E28" t="inlineStr">
        <is>
          <t>chlorobenzene</t>
        </is>
      </c>
      <c r="F28" t="n">
        <v>0.042852127</v>
      </c>
      <c r="H28" t="n">
        <v>-3.15</v>
      </c>
      <c r="I28" t="n">
        <v>0.019</v>
      </c>
      <c r="J28" t="n">
        <v>0.1793</v>
      </c>
      <c r="K28" t="n">
        <v>-62.83</v>
      </c>
      <c r="L28" t="n">
        <v>-158.44</v>
      </c>
      <c r="M28" t="n">
        <v>-37.86</v>
      </c>
      <c r="N28" t="n">
        <v>-24.97</v>
      </c>
      <c r="O28" t="n">
        <v>-120.58</v>
      </c>
      <c r="P28" t="n">
        <v>2</v>
      </c>
      <c r="Q28" t="n">
        <v>1.21</v>
      </c>
      <c r="R28" t="n">
        <v>1.409</v>
      </c>
      <c r="S28" t="n">
        <v>1.474</v>
      </c>
      <c r="T28" t="n">
        <v>-2.639</v>
      </c>
      <c r="U28" t="n">
        <v>-37.86</v>
      </c>
      <c r="V28" t="n">
        <v>-24.97</v>
      </c>
      <c r="W28" t="n">
        <v>-120.58</v>
      </c>
      <c r="X28" t="n">
        <v>-214.38</v>
      </c>
      <c r="Y28" t="n">
        <v>-95.61</v>
      </c>
      <c r="Z28" t="n">
        <v>10.23</v>
      </c>
      <c r="AA28" t="n">
        <v>93.98</v>
      </c>
      <c r="AB28" t="n">
        <v>31.15</v>
      </c>
      <c r="AC28" t="n">
        <v>25.83932</v>
      </c>
      <c r="AD28" t="n">
        <v>25.83932</v>
      </c>
      <c r="AE28" t="n">
        <v>0.1304</v>
      </c>
      <c r="AF28" t="n">
        <v>1.0577</v>
      </c>
      <c r="AG28" t="n">
        <v>0.01308</v>
      </c>
      <c r="AH28" t="n">
        <v>0.0196</v>
      </c>
    </row>
    <row r="29">
      <c r="A29" t="inlineStr">
        <is>
          <t>SMD</t>
        </is>
      </c>
      <c r="B29" t="inlineStr">
        <is>
          <t>1,4-Dichlorobenzene</t>
        </is>
      </c>
      <c r="C29" t="inlineStr">
        <is>
          <t>1,4-DiCl</t>
        </is>
      </c>
      <c r="D29" t="inlineStr">
        <is>
          <t>ClBz_14</t>
        </is>
      </c>
      <c r="E29" t="inlineStr">
        <is>
          <t>chlorobenzene</t>
        </is>
      </c>
      <c r="F29" t="n">
        <v>0.000905247</v>
      </c>
      <c r="H29" t="n">
        <v>-7.0073</v>
      </c>
      <c r="I29" t="n">
        <v>-0.014</v>
      </c>
      <c r="J29" t="n">
        <v>0.1467</v>
      </c>
      <c r="K29" t="n">
        <v>-61.79</v>
      </c>
      <c r="L29" t="n">
        <v>-150.05</v>
      </c>
      <c r="M29" t="n">
        <v>-40.22</v>
      </c>
      <c r="N29" t="n">
        <v>-21.57</v>
      </c>
      <c r="O29" t="n">
        <v>-109.84</v>
      </c>
      <c r="P29" t="n">
        <v>2</v>
      </c>
      <c r="Q29" t="n">
        <v>1.249</v>
      </c>
      <c r="R29" t="n">
        <v>1.449</v>
      </c>
      <c r="S29" t="n">
        <v>1.486</v>
      </c>
      <c r="T29" t="n">
        <v>-2.537</v>
      </c>
      <c r="U29" t="n">
        <v>-40.22</v>
      </c>
      <c r="V29" t="n">
        <v>-21.57</v>
      </c>
      <c r="W29" t="n">
        <v>-109.84</v>
      </c>
      <c r="X29" t="n">
        <v>-212.81</v>
      </c>
      <c r="Y29" t="n">
        <v>-88.27</v>
      </c>
      <c r="Z29" t="n">
        <v>9.4</v>
      </c>
      <c r="AA29" t="n">
        <v>94.90000000000001</v>
      </c>
      <c r="AB29" t="n">
        <v>31.38</v>
      </c>
      <c r="AC29" t="n">
        <v>26.53932</v>
      </c>
      <c r="AD29" t="n">
        <v>26.53932</v>
      </c>
      <c r="AE29" t="n">
        <v>0.1123</v>
      </c>
      <c r="AF29" t="n">
        <v>1.0475</v>
      </c>
      <c r="AG29" t="n">
        <v>0.00616</v>
      </c>
      <c r="AH29" t="n">
        <v>0.0252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3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min_dG_rad_red_kcal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min_dG_rad_red_kcal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min_dG_rad_red_kcal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-23.72</v>
      </c>
      <c r="B2" t="n">
        <v>-6.2146</v>
      </c>
      <c r="C2" t="inlineStr">
        <is>
          <t>MonoBr</t>
        </is>
      </c>
      <c r="D2" t="n">
        <v>0.105</v>
      </c>
      <c r="G2" t="n">
        <v>-70.69</v>
      </c>
      <c r="H2" t="n">
        <v>1.5559</v>
      </c>
      <c r="I2" t="inlineStr">
        <is>
          <t>HexaCl</t>
        </is>
      </c>
      <c r="K2" t="n">
        <v>-60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-33.53</v>
      </c>
      <c r="B3" t="n">
        <v>-4.4228</v>
      </c>
      <c r="C3" t="inlineStr">
        <is>
          <t>1,4-DiBr</t>
        </is>
      </c>
      <c r="D3" t="n">
        <v>0.1167</v>
      </c>
      <c r="G3" t="n">
        <v>-67.14</v>
      </c>
      <c r="H3" t="n">
        <v>-1.6198</v>
      </c>
      <c r="I3" t="inlineStr">
        <is>
          <t>PentaCl</t>
        </is>
      </c>
      <c r="K3" t="n">
        <v>-70.03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-35.4</v>
      </c>
      <c r="B4" t="n">
        <v>-3.4143</v>
      </c>
      <c r="C4" t="inlineStr">
        <is>
          <t>1,3-DiBr</t>
        </is>
      </c>
      <c r="D4" t="n">
        <v>0.09420000000000001</v>
      </c>
      <c r="G4" t="n">
        <v>-54.67</v>
      </c>
      <c r="H4" t="n">
        <v>-1.22</v>
      </c>
      <c r="I4" t="inlineStr">
        <is>
          <t>1,2,4,5-TetraCl</t>
        </is>
      </c>
    </row>
    <row r="5">
      <c r="A5" t="n">
        <v>-51.53</v>
      </c>
      <c r="B5" t="n">
        <v>-0.5978</v>
      </c>
      <c r="C5" t="inlineStr">
        <is>
          <t>1,2,4-TriBr</t>
        </is>
      </c>
      <c r="D5" t="n">
        <v>0.1491</v>
      </c>
      <c r="G5" t="n">
        <v>-40.16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-45.93</v>
      </c>
      <c r="B6" t="n">
        <v>-0.1054</v>
      </c>
      <c r="C6" t="inlineStr">
        <is>
          <t>1,3,5-TriBr</t>
        </is>
      </c>
      <c r="D6" t="n">
        <v>0.1667</v>
      </c>
      <c r="G6" t="n">
        <v>-32.43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-56.88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-71.11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(uncompensated potential, without iR-drop compensation)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mergeCells count="1">
    <mergeCell ref="S17:W35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min_dG_RA_2e_any_kcal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min_dG_RA_2e_any_kcal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min_dG_RA_2e_any_kcal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-23.77</v>
      </c>
      <c r="B2" t="n">
        <v>-6.2146</v>
      </c>
      <c r="C2" t="inlineStr">
        <is>
          <t>MonoBr</t>
        </is>
      </c>
      <c r="D2" t="n">
        <v>0.105</v>
      </c>
      <c r="G2" t="n">
        <v>-48.33</v>
      </c>
      <c r="H2" t="n">
        <v>1.5559</v>
      </c>
      <c r="I2" t="inlineStr">
        <is>
          <t>HexaCl</t>
        </is>
      </c>
      <c r="K2" t="n">
        <v>-46.03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-28.78</v>
      </c>
      <c r="B3" t="n">
        <v>-4.4228</v>
      </c>
      <c r="C3" t="inlineStr">
        <is>
          <t>1,4-DiBr</t>
        </is>
      </c>
      <c r="D3" t="n">
        <v>0.1167</v>
      </c>
      <c r="G3" t="n">
        <v>-47.89</v>
      </c>
      <c r="H3" t="n">
        <v>-1.6198</v>
      </c>
      <c r="I3" t="inlineStr">
        <is>
          <t>PentaCl</t>
        </is>
      </c>
      <c r="K3" t="n">
        <v>-54.93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-30.49</v>
      </c>
      <c r="B4" t="n">
        <v>-3.4143</v>
      </c>
      <c r="C4" t="inlineStr">
        <is>
          <t>1,3-DiBr</t>
        </is>
      </c>
      <c r="D4" t="n">
        <v>0.09420000000000001</v>
      </c>
      <c r="G4" t="n">
        <v>-45.58</v>
      </c>
      <c r="H4" t="n">
        <v>-1.22</v>
      </c>
      <c r="I4" t="inlineStr">
        <is>
          <t>1,2,4,5-TetraCl</t>
        </is>
      </c>
    </row>
    <row r="5">
      <c r="A5" t="n">
        <v>-40.76</v>
      </c>
      <c r="B5" t="n">
        <v>-0.5978</v>
      </c>
      <c r="C5" t="inlineStr">
        <is>
          <t>1,2,4-TriBr</t>
        </is>
      </c>
      <c r="D5" t="n">
        <v>0.1491</v>
      </c>
      <c r="G5" t="n">
        <v>-35.01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-35.26</v>
      </c>
      <c r="B6" t="n">
        <v>-0.1054</v>
      </c>
      <c r="C6" t="inlineStr">
        <is>
          <t>1,3,5-TriBr</t>
        </is>
      </c>
      <c r="D6" t="n">
        <v>0.1667</v>
      </c>
      <c r="G6" t="n">
        <v>-37.41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-42.46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-48.51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min_dG_frag_any_kcal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min_dG_frag_any_kcal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min_dG_frag_any_kcal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-0.05</v>
      </c>
      <c r="B2" t="n">
        <v>-6.2146</v>
      </c>
      <c r="C2" t="inlineStr">
        <is>
          <t>MonoBr</t>
        </is>
      </c>
      <c r="D2" t="n">
        <v>0.105</v>
      </c>
      <c r="G2" t="n">
        <v>22.36</v>
      </c>
      <c r="H2" t="n">
        <v>1.5559</v>
      </c>
      <c r="I2" t="inlineStr">
        <is>
          <t>HexaCl</t>
        </is>
      </c>
      <c r="K2" t="n">
        <v>13.97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4.75</v>
      </c>
      <c r="B3" t="n">
        <v>-4.4228</v>
      </c>
      <c r="C3" t="inlineStr">
        <is>
          <t>1,4-DiBr</t>
        </is>
      </c>
      <c r="D3" t="n">
        <v>0.1167</v>
      </c>
      <c r="G3" t="n">
        <v>19.25</v>
      </c>
      <c r="H3" t="n">
        <v>-1.6198</v>
      </c>
      <c r="I3" t="inlineStr">
        <is>
          <t>PentaCl</t>
        </is>
      </c>
      <c r="K3" t="n">
        <v>14.49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4.91</v>
      </c>
      <c r="B4" t="n">
        <v>-3.4143</v>
      </c>
      <c r="C4" t="inlineStr">
        <is>
          <t>1,3-DiBr</t>
        </is>
      </c>
      <c r="D4" t="n">
        <v>0.09420000000000001</v>
      </c>
      <c r="G4" t="n">
        <v>9.08</v>
      </c>
      <c r="H4" t="n">
        <v>-1.22</v>
      </c>
      <c r="I4" t="inlineStr">
        <is>
          <t>1,2,4,5-TetraCl</t>
        </is>
      </c>
    </row>
    <row r="5">
      <c r="A5" t="n">
        <v>10.77</v>
      </c>
      <c r="B5" t="n">
        <v>-0.5978</v>
      </c>
      <c r="C5" t="inlineStr">
        <is>
          <t>1,2,4-TriBr</t>
        </is>
      </c>
      <c r="D5" t="n">
        <v>0.1491</v>
      </c>
      <c r="G5" t="n">
        <v>5.15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10.67</v>
      </c>
      <c r="B6" t="n">
        <v>-0.1054</v>
      </c>
      <c r="C6" t="inlineStr">
        <is>
          <t>1,3,5-TriBr</t>
        </is>
      </c>
      <c r="D6" t="n">
        <v>0.1667</v>
      </c>
      <c r="G6" t="n">
        <v>-4.97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14.43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22.6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min_dG_2e_carbanion_kcal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min_dG_2e_carbanion_kcal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min_dG_2e_carbanion_kcal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-31.81</v>
      </c>
      <c r="B2" t="n">
        <v>-6.2146</v>
      </c>
      <c r="C2" t="inlineStr">
        <is>
          <t>MonoBr</t>
        </is>
      </c>
      <c r="D2" t="n">
        <v>0.105</v>
      </c>
      <c r="G2" t="n">
        <v>-73.47</v>
      </c>
      <c r="H2" t="n">
        <v>1.5559</v>
      </c>
      <c r="I2" t="inlineStr">
        <is>
          <t>HexaCl</t>
        </is>
      </c>
      <c r="K2" t="n">
        <v>-69.77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-42.18</v>
      </c>
      <c r="B3" t="n">
        <v>-4.4228</v>
      </c>
      <c r="C3" t="inlineStr">
        <is>
          <t>1,4-DiBr</t>
        </is>
      </c>
      <c r="D3" t="n">
        <v>0.1167</v>
      </c>
      <c r="G3" t="n">
        <v>-68.67</v>
      </c>
      <c r="H3" t="n">
        <v>-1.6198</v>
      </c>
      <c r="I3" t="inlineStr">
        <is>
          <t>PentaCl</t>
        </is>
      </c>
      <c r="K3" t="n">
        <v>-79.58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-44.74</v>
      </c>
      <c r="B4" t="n">
        <v>-3.4143</v>
      </c>
      <c r="C4" t="inlineStr">
        <is>
          <t>1,3-DiBr</t>
        </is>
      </c>
      <c r="D4" t="n">
        <v>0.09420000000000001</v>
      </c>
      <c r="G4" t="n">
        <v>-54.94</v>
      </c>
      <c r="H4" t="n">
        <v>-1.22</v>
      </c>
      <c r="I4" t="inlineStr">
        <is>
          <t>1,2,4,5-TetraCl</t>
        </is>
      </c>
    </row>
    <row r="5">
      <c r="A5" t="n">
        <v>-62.05</v>
      </c>
      <c r="B5" t="n">
        <v>-0.5978</v>
      </c>
      <c r="C5" t="inlineStr">
        <is>
          <t>1,2,4-TriBr</t>
        </is>
      </c>
      <c r="D5" t="n">
        <v>0.1491</v>
      </c>
      <c r="G5" t="n">
        <v>-39.66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-56.2</v>
      </c>
      <c r="B6" t="n">
        <v>-0.1054</v>
      </c>
      <c r="C6" t="inlineStr">
        <is>
          <t>1,3,5-TriBr</t>
        </is>
      </c>
      <c r="D6" t="n">
        <v>0.1667</v>
      </c>
      <c r="G6" t="n">
        <v>-30.91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-68.02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-88.01000000000001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0.92,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dG_ET_any_kcal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dG_ET_any_kcal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dG_ET_any_kcal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-8.039999999999999</v>
      </c>
      <c r="B2" t="n">
        <v>-6.2146</v>
      </c>
      <c r="C2" t="inlineStr">
        <is>
          <t>MonoBr</t>
        </is>
      </c>
      <c r="D2" t="n">
        <v>0.105</v>
      </c>
      <c r="G2" t="n">
        <v>-25.14</v>
      </c>
      <c r="H2" t="n">
        <v>1.5559</v>
      </c>
      <c r="I2" t="inlineStr">
        <is>
          <t>HexaCl</t>
        </is>
      </c>
      <c r="K2" t="n">
        <v>-23.73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-13.4</v>
      </c>
      <c r="B3" t="n">
        <v>-4.4228</v>
      </c>
      <c r="C3" t="inlineStr">
        <is>
          <t>1,4-DiBr</t>
        </is>
      </c>
      <c r="D3" t="n">
        <v>0.1167</v>
      </c>
      <c r="G3" t="n">
        <v>-20.78</v>
      </c>
      <c r="H3" t="n">
        <v>-1.6198</v>
      </c>
      <c r="I3" t="inlineStr">
        <is>
          <t>PentaCl</t>
        </is>
      </c>
      <c r="K3" t="n">
        <v>-24.65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-14.25</v>
      </c>
      <c r="B4" t="n">
        <v>-3.4143</v>
      </c>
      <c r="C4" t="inlineStr">
        <is>
          <t>1,3-DiBr</t>
        </is>
      </c>
      <c r="D4" t="n">
        <v>0.09420000000000001</v>
      </c>
      <c r="G4" t="n">
        <v>-9.35</v>
      </c>
      <c r="H4" t="n">
        <v>-1.22</v>
      </c>
      <c r="I4" t="inlineStr">
        <is>
          <t>1,2,4,5-TetraCl</t>
        </is>
      </c>
    </row>
    <row r="5">
      <c r="A5" t="n">
        <v>-21.29</v>
      </c>
      <c r="B5" t="n">
        <v>-0.5978</v>
      </c>
      <c r="C5" t="inlineStr">
        <is>
          <t>1,2,4-TriBr</t>
        </is>
      </c>
      <c r="D5" t="n">
        <v>0.1491</v>
      </c>
      <c r="G5" t="n">
        <v>-4.66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-20.94</v>
      </c>
      <c r="B6" t="n">
        <v>-0.1054</v>
      </c>
      <c r="C6" t="inlineStr">
        <is>
          <t>1,3,5-TriBr</t>
        </is>
      </c>
      <c r="D6" t="n">
        <v>0.1667</v>
      </c>
      <c r="G6" t="n">
        <v>6.5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-25.56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-39.5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0.87,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n_X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n_X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n_X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1</v>
      </c>
      <c r="B2" t="n">
        <v>-6.2146</v>
      </c>
      <c r="C2" t="inlineStr">
        <is>
          <t>MonoBr</t>
        </is>
      </c>
      <c r="D2" t="n">
        <v>0.105</v>
      </c>
      <c r="G2" t="n">
        <v>6</v>
      </c>
      <c r="H2" t="n">
        <v>1.5559</v>
      </c>
      <c r="I2" t="inlineStr">
        <is>
          <t>HexaCl</t>
        </is>
      </c>
      <c r="K2" t="n">
        <v>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</v>
      </c>
      <c r="B3" t="n">
        <v>-4.4228</v>
      </c>
      <c r="C3" t="inlineStr">
        <is>
          <t>1,4-DiBr</t>
        </is>
      </c>
      <c r="D3" t="n">
        <v>0.1167</v>
      </c>
      <c r="G3" t="n">
        <v>5</v>
      </c>
      <c r="H3" t="n">
        <v>-1.6198</v>
      </c>
      <c r="I3" t="inlineStr">
        <is>
          <t>PentaCl</t>
        </is>
      </c>
      <c r="K3" t="n">
        <v>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</v>
      </c>
      <c r="B4" t="n">
        <v>-3.4143</v>
      </c>
      <c r="C4" t="inlineStr">
        <is>
          <t>1,3-DiBr</t>
        </is>
      </c>
      <c r="D4" t="n">
        <v>0.09420000000000001</v>
      </c>
      <c r="G4" t="n">
        <v>4</v>
      </c>
      <c r="H4" t="n">
        <v>-1.22</v>
      </c>
      <c r="I4" t="inlineStr">
        <is>
          <t>1,2,4,5-TetraCl</t>
        </is>
      </c>
    </row>
    <row r="5">
      <c r="A5" t="n">
        <v>3</v>
      </c>
      <c r="B5" t="n">
        <v>-0.5978</v>
      </c>
      <c r="C5" t="inlineStr">
        <is>
          <t>1,2,4-TriBr</t>
        </is>
      </c>
      <c r="D5" t="n">
        <v>0.1491</v>
      </c>
      <c r="G5" t="n">
        <v>2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3</v>
      </c>
      <c r="B6" t="n">
        <v>-0.1054</v>
      </c>
      <c r="C6" t="inlineStr">
        <is>
          <t>1,3,5-TriBr</t>
        </is>
      </c>
      <c r="D6" t="n">
        <v>0.1667</v>
      </c>
      <c r="G6" t="n">
        <v>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4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6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min_wiberg_CX_parent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min_wiberg_CX_parent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min_wiberg_CX_parent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1.041</v>
      </c>
      <c r="B2" t="n">
        <v>-6.2146</v>
      </c>
      <c r="C2" t="inlineStr">
        <is>
          <t>MonoBr</t>
        </is>
      </c>
      <c r="D2" t="n">
        <v>0.105</v>
      </c>
      <c r="G2" t="n">
        <v>1.0898</v>
      </c>
      <c r="H2" t="n">
        <v>1.5559</v>
      </c>
      <c r="I2" t="inlineStr">
        <is>
          <t>HexaCl</t>
        </is>
      </c>
      <c r="K2" t="n">
        <v>1.043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1.0456</v>
      </c>
      <c r="B3" t="n">
        <v>-4.4228</v>
      </c>
      <c r="C3" t="inlineStr">
        <is>
          <t>1,4-DiBr</t>
        </is>
      </c>
      <c r="D3" t="n">
        <v>0.1167</v>
      </c>
      <c r="G3" t="n">
        <v>1.08</v>
      </c>
      <c r="H3" t="n">
        <v>-1.6198</v>
      </c>
      <c r="I3" t="inlineStr">
        <is>
          <t>PentaCl</t>
        </is>
      </c>
      <c r="K3" t="n">
        <v>1.0492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1.0467</v>
      </c>
      <c r="B4" t="n">
        <v>-3.4143</v>
      </c>
      <c r="C4" t="inlineStr">
        <is>
          <t>1,3-DiBr</t>
        </is>
      </c>
      <c r="D4" t="n">
        <v>0.09420000000000001</v>
      </c>
      <c r="G4" t="n">
        <v>1.0771</v>
      </c>
      <c r="H4" t="n">
        <v>-1.22</v>
      </c>
      <c r="I4" t="inlineStr">
        <is>
          <t>1,2,4,5-TetraCl</t>
        </is>
      </c>
    </row>
    <row r="5">
      <c r="A5" t="n">
        <v>1.0499</v>
      </c>
      <c r="B5" t="n">
        <v>-0.5978</v>
      </c>
      <c r="C5" t="inlineStr">
        <is>
          <t>1,2,4-TriBr</t>
        </is>
      </c>
      <c r="D5" t="n">
        <v>0.1491</v>
      </c>
      <c r="G5" t="n">
        <v>1.0691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1.0515</v>
      </c>
      <c r="B6" t="n">
        <v>-0.1054</v>
      </c>
      <c r="C6" t="inlineStr">
        <is>
          <t>1,3,5-TriBr</t>
        </is>
      </c>
      <c r="D6" t="n">
        <v>0.1667</v>
      </c>
      <c r="G6" t="n">
        <v>1.0586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1.0586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1.0669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VEA_eV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VEA_eV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VEA_eV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-0.76</v>
      </c>
      <c r="B2" t="n">
        <v>-6.2146</v>
      </c>
      <c r="C2" t="inlineStr">
        <is>
          <t>MonoBr</t>
        </is>
      </c>
      <c r="D2" t="n">
        <v>0.105</v>
      </c>
      <c r="G2" t="n">
        <v>0.242</v>
      </c>
      <c r="H2" t="n">
        <v>1.5559</v>
      </c>
      <c r="I2" t="inlineStr">
        <is>
          <t>HexaCl</t>
        </is>
      </c>
      <c r="K2" t="n">
        <v>0.042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-1.072</v>
      </c>
      <c r="B3" t="n">
        <v>-4.4228</v>
      </c>
      <c r="C3" t="inlineStr">
        <is>
          <t>1,4-DiBr</t>
        </is>
      </c>
      <c r="D3" t="n">
        <v>0.1167</v>
      </c>
      <c r="G3" t="n">
        <v>0.081</v>
      </c>
      <c r="H3" t="n">
        <v>-1.6198</v>
      </c>
      <c r="I3" t="inlineStr">
        <is>
          <t>PentaCl</t>
        </is>
      </c>
      <c r="K3" t="n">
        <v>0.192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-0.638</v>
      </c>
      <c r="B4" t="n">
        <v>-3.4143</v>
      </c>
      <c r="C4" t="inlineStr">
        <is>
          <t>1,3-DiBr</t>
        </is>
      </c>
      <c r="D4" t="n">
        <v>0.09420000000000001</v>
      </c>
      <c r="G4" t="n">
        <v>-0.09</v>
      </c>
      <c r="H4" t="n">
        <v>-1.22</v>
      </c>
      <c r="I4" t="inlineStr">
        <is>
          <t>1,2,4,5-TetraCl</t>
        </is>
      </c>
    </row>
    <row r="5">
      <c r="A5" t="n">
        <v>-0.252</v>
      </c>
      <c r="B5" t="n">
        <v>-0.5978</v>
      </c>
      <c r="C5" t="inlineStr">
        <is>
          <t>1,2,4-TriBr</t>
        </is>
      </c>
      <c r="D5" t="n">
        <v>0.1491</v>
      </c>
      <c r="G5" t="n">
        <v>-0.791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-0.2</v>
      </c>
      <c r="B6" t="n">
        <v>-0.1054</v>
      </c>
      <c r="C6" t="inlineStr">
        <is>
          <t>1,3,5-TriBr</t>
        </is>
      </c>
      <c r="D6" t="n">
        <v>0.1667</v>
      </c>
      <c r="G6" t="n">
        <v>-0.72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0.056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0.876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min_dG_2e_HDH_kcal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min_dG_2e_HDH_kcal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min_dG_2e_HDH_kcal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-420.73</v>
      </c>
      <c r="B2" t="n">
        <v>-6.2146</v>
      </c>
      <c r="C2" t="inlineStr">
        <is>
          <t>MonoBr</t>
        </is>
      </c>
      <c r="D2" t="n">
        <v>0.105</v>
      </c>
      <c r="G2" t="n">
        <v>-419.86</v>
      </c>
      <c r="H2" t="n">
        <v>1.5559</v>
      </c>
      <c r="I2" t="inlineStr">
        <is>
          <t>HexaCl</t>
        </is>
      </c>
      <c r="K2" t="n">
        <v>-424.42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-423.09</v>
      </c>
      <c r="B3" t="n">
        <v>-4.4228</v>
      </c>
      <c r="C3" t="inlineStr">
        <is>
          <t>1,4-DiBr</t>
        </is>
      </c>
      <c r="D3" t="n">
        <v>0.1167</v>
      </c>
      <c r="G3" t="n">
        <v>-417.97</v>
      </c>
      <c r="H3" t="n">
        <v>-1.6198</v>
      </c>
      <c r="I3" t="inlineStr">
        <is>
          <t>PentaCl</t>
        </is>
      </c>
      <c r="K3" t="n">
        <v>-425.59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-422.85</v>
      </c>
      <c r="B4" t="n">
        <v>-3.4143</v>
      </c>
      <c r="C4" t="inlineStr">
        <is>
          <t>1,3-DiBr</t>
        </is>
      </c>
      <c r="D4" t="n">
        <v>0.09420000000000001</v>
      </c>
      <c r="G4" t="n">
        <v>-416.53</v>
      </c>
      <c r="H4" t="n">
        <v>-1.22</v>
      </c>
      <c r="I4" t="inlineStr">
        <is>
          <t>1,2,4,5-TetraCl</t>
        </is>
      </c>
    </row>
    <row r="5">
      <c r="A5" t="n">
        <v>-425.07</v>
      </c>
      <c r="B5" t="n">
        <v>-0.5978</v>
      </c>
      <c r="C5" t="inlineStr">
        <is>
          <t>1,2,4-TriBr</t>
        </is>
      </c>
      <c r="D5" t="n">
        <v>0.1491</v>
      </c>
      <c r="G5" t="n">
        <v>-414.55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-424.28</v>
      </c>
      <c r="B6" t="n">
        <v>-0.1054</v>
      </c>
      <c r="C6" t="inlineStr">
        <is>
          <t>1,3,5-TriBr</t>
        </is>
      </c>
      <c r="D6" t="n">
        <v>0.1667</v>
      </c>
      <c r="G6" t="n">
        <v>-413.02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-426.76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-432.03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omega_dSCF_eV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omega_dSCF_eV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omega_dSCF_eV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0.898</v>
      </c>
      <c r="B2" t="n">
        <v>-6.2146</v>
      </c>
      <c r="C2" t="inlineStr">
        <is>
          <t>MonoBr</t>
        </is>
      </c>
      <c r="D2" t="n">
        <v>0.105</v>
      </c>
      <c r="G2" t="n">
        <v>1.288</v>
      </c>
      <c r="H2" t="n">
        <v>1.5559</v>
      </c>
      <c r="I2" t="inlineStr">
        <is>
          <t>HexaCl</t>
        </is>
      </c>
      <c r="K2" t="n">
        <v>1.098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0.791</v>
      </c>
      <c r="B3" t="n">
        <v>-4.4228</v>
      </c>
      <c r="C3" t="inlineStr">
        <is>
          <t>1,4-DiBr</t>
        </is>
      </c>
      <c r="D3" t="n">
        <v>0.1167</v>
      </c>
      <c r="G3" t="n">
        <v>1.212</v>
      </c>
      <c r="H3" t="n">
        <v>-1.6198</v>
      </c>
      <c r="I3" t="inlineStr">
        <is>
          <t>PentaCl</t>
        </is>
      </c>
      <c r="K3" t="n">
        <v>1.162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0.9419999999999999</v>
      </c>
      <c r="B4" t="n">
        <v>-3.4143</v>
      </c>
      <c r="C4" t="inlineStr">
        <is>
          <t>1,3-DiBr</t>
        </is>
      </c>
      <c r="D4" t="n">
        <v>0.09420000000000001</v>
      </c>
      <c r="G4" t="n">
        <v>1.135</v>
      </c>
      <c r="H4" t="n">
        <v>-1.22</v>
      </c>
      <c r="I4" t="inlineStr">
        <is>
          <t>1,2,4,5-TetraCl</t>
        </is>
      </c>
    </row>
    <row r="5">
      <c r="A5" t="n">
        <v>1.054</v>
      </c>
      <c r="B5" t="n">
        <v>-0.5978</v>
      </c>
      <c r="C5" t="inlineStr">
        <is>
          <t>1,2,4-TriBr</t>
        </is>
      </c>
      <c r="D5" t="n">
        <v>0.1491</v>
      </c>
      <c r="G5" t="n">
        <v>0.905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1.115</v>
      </c>
      <c r="B6" t="n">
        <v>-0.1054</v>
      </c>
      <c r="C6" t="inlineStr">
        <is>
          <t>1,3,5-TriBr</t>
        </is>
      </c>
      <c r="D6" t="n">
        <v>0.1667</v>
      </c>
      <c r="G6" t="n">
        <v>0.911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1.165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1.534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LUMO_eV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LUMO_eV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LUMO_eV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-0.11</v>
      </c>
      <c r="B2" t="n">
        <v>-6.2146</v>
      </c>
      <c r="C2" t="inlineStr">
        <is>
          <t>MonoBr</t>
        </is>
      </c>
      <c r="D2" t="n">
        <v>0.105</v>
      </c>
      <c r="G2" t="n">
        <v>-0.948</v>
      </c>
      <c r="H2" t="n">
        <v>1.5559</v>
      </c>
      <c r="I2" t="inlineStr">
        <is>
          <t>HexaCl</t>
        </is>
      </c>
      <c r="K2" t="n">
        <v>-0.723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-0.299</v>
      </c>
      <c r="B3" t="n">
        <v>-4.4228</v>
      </c>
      <c r="C3" t="inlineStr">
        <is>
          <t>1,4-DiBr</t>
        </is>
      </c>
      <c r="D3" t="n">
        <v>0.1167</v>
      </c>
      <c r="G3" t="n">
        <v>-0.85</v>
      </c>
      <c r="H3" t="n">
        <v>-1.6198</v>
      </c>
      <c r="I3" t="inlineStr">
        <is>
          <t>PentaCl</t>
        </is>
      </c>
      <c r="K3" t="n">
        <v>-0.83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-0.273</v>
      </c>
      <c r="B4" t="n">
        <v>-3.4143</v>
      </c>
      <c r="C4" t="inlineStr">
        <is>
          <t>1,3-DiBr</t>
        </is>
      </c>
      <c r="D4" t="n">
        <v>0.09420000000000001</v>
      </c>
      <c r="G4" t="n">
        <v>-0.745</v>
      </c>
      <c r="H4" t="n">
        <v>-1.22</v>
      </c>
      <c r="I4" t="inlineStr">
        <is>
          <t>1,2,4,5-TetraCl</t>
        </is>
      </c>
    </row>
    <row r="5">
      <c r="A5" t="n">
        <v>-0.546</v>
      </c>
      <c r="B5" t="n">
        <v>-0.5978</v>
      </c>
      <c r="C5" t="inlineStr">
        <is>
          <t>1,2,4-TriBr</t>
        </is>
      </c>
      <c r="D5" t="n">
        <v>0.1491</v>
      </c>
      <c r="G5" t="n">
        <v>-0.158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-0.587</v>
      </c>
      <c r="B6" t="n">
        <v>-0.1054</v>
      </c>
      <c r="C6" t="inlineStr">
        <is>
          <t>1,3,5-TriBr</t>
        </is>
      </c>
      <c r="D6" t="n">
        <v>0.1667</v>
      </c>
      <c r="G6" t="n">
        <v>-0.236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-0.794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-1.601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min_dG_1e_kcal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min_dG_1e_kcal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min_dG_1e_kcal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-8.09</v>
      </c>
      <c r="B2" t="n">
        <v>-6.2146</v>
      </c>
      <c r="C2" t="inlineStr">
        <is>
          <t>MonoBr</t>
        </is>
      </c>
      <c r="D2" t="n">
        <v>0.105</v>
      </c>
      <c r="G2" t="n">
        <v>-2.78</v>
      </c>
      <c r="H2" t="n">
        <v>1.5559</v>
      </c>
      <c r="I2" t="inlineStr">
        <is>
          <t>HexaCl</t>
        </is>
      </c>
      <c r="K2" t="n">
        <v>-9.76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-8.65</v>
      </c>
      <c r="B3" t="n">
        <v>-4.4228</v>
      </c>
      <c r="C3" t="inlineStr">
        <is>
          <t>1,4-DiBr</t>
        </is>
      </c>
      <c r="D3" t="n">
        <v>0.1167</v>
      </c>
      <c r="G3" t="n">
        <v>-1.53</v>
      </c>
      <c r="H3" t="n">
        <v>-1.6198</v>
      </c>
      <c r="I3" t="inlineStr">
        <is>
          <t>PentaCl</t>
        </is>
      </c>
      <c r="K3" t="n">
        <v>-10.15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-9.35</v>
      </c>
      <c r="B4" t="n">
        <v>-3.4143</v>
      </c>
      <c r="C4" t="inlineStr">
        <is>
          <t>1,3-DiBr</t>
        </is>
      </c>
      <c r="D4" t="n">
        <v>0.09420000000000001</v>
      </c>
      <c r="G4" t="n">
        <v>-0.27</v>
      </c>
      <c r="H4" t="n">
        <v>-1.22</v>
      </c>
      <c r="I4" t="inlineStr">
        <is>
          <t>1,2,4,5-TetraCl</t>
        </is>
      </c>
    </row>
    <row r="5">
      <c r="A5" t="n">
        <v>-10.52</v>
      </c>
      <c r="B5" t="n">
        <v>-0.5978</v>
      </c>
      <c r="C5" t="inlineStr">
        <is>
          <t>1,2,4-TriBr</t>
        </is>
      </c>
      <c r="D5" t="n">
        <v>0.1491</v>
      </c>
      <c r="G5" t="n">
        <v>0.5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-10.28</v>
      </c>
      <c r="B6" t="n">
        <v>-0.1054</v>
      </c>
      <c r="C6" t="inlineStr">
        <is>
          <t>1,3,5-TriBr</t>
        </is>
      </c>
      <c r="D6" t="n">
        <v>0.1667</v>
      </c>
      <c r="G6" t="n">
        <v>1.52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-11.14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-16.9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0.68,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min_BDE_kcal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min_BDE_kcal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min_BDE_kcal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77.11</v>
      </c>
      <c r="B2" t="n">
        <v>-6.2146</v>
      </c>
      <c r="C2" t="inlineStr">
        <is>
          <t>MonoBr</t>
        </is>
      </c>
      <c r="D2" t="n">
        <v>0.105</v>
      </c>
      <c r="G2" t="n">
        <v>91.03</v>
      </c>
      <c r="H2" t="n">
        <v>1.5559</v>
      </c>
      <c r="I2" t="inlineStr">
        <is>
          <t>HexaCl</t>
        </is>
      </c>
      <c r="K2" t="n">
        <v>76.05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76.95999999999999</v>
      </c>
      <c r="B3" t="n">
        <v>-4.4228</v>
      </c>
      <c r="C3" t="inlineStr">
        <is>
          <t>1,4-DiBr</t>
        </is>
      </c>
      <c r="D3" t="n">
        <v>0.1167</v>
      </c>
      <c r="G3" t="n">
        <v>91.2</v>
      </c>
      <c r="H3" t="n">
        <v>-1.6198</v>
      </c>
      <c r="I3" t="inlineStr">
        <is>
          <t>PentaCl</t>
        </is>
      </c>
      <c r="K3" t="n">
        <v>75.23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76.31999999999999</v>
      </c>
      <c r="B4" t="n">
        <v>-3.4143</v>
      </c>
      <c r="C4" t="inlineStr">
        <is>
          <t>1,3-DiBr</t>
        </is>
      </c>
      <c r="D4" t="n">
        <v>0.09420000000000001</v>
      </c>
      <c r="G4" t="n">
        <v>93.13</v>
      </c>
      <c r="H4" t="n">
        <v>-1.22</v>
      </c>
      <c r="I4" t="inlineStr">
        <is>
          <t>1,2,4,5-TetraCl</t>
        </is>
      </c>
    </row>
    <row r="5">
      <c r="A5" t="n">
        <v>74.89</v>
      </c>
      <c r="B5" t="n">
        <v>-0.5978</v>
      </c>
      <c r="C5" t="inlineStr">
        <is>
          <t>1,2,4-TriBr</t>
        </is>
      </c>
      <c r="D5" t="n">
        <v>0.1491</v>
      </c>
      <c r="G5" t="n">
        <v>93.47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75.65000000000001</v>
      </c>
      <c r="B6" t="n">
        <v>-0.1054</v>
      </c>
      <c r="C6" t="inlineStr">
        <is>
          <t>1,3,5-TriBr</t>
        </is>
      </c>
      <c r="D6" t="n">
        <v>0.1667</v>
      </c>
      <c r="G6" t="n">
        <v>94.37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75.09999999999999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69.97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0.64,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LUMO_RA_eV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LUMO_RA_eV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LUMO_RA_eV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2.169</v>
      </c>
      <c r="B2" t="n">
        <v>-6.2146</v>
      </c>
      <c r="C2" t="inlineStr">
        <is>
          <t>MonoBr</t>
        </is>
      </c>
      <c r="D2" t="n">
        <v>0.105</v>
      </c>
      <c r="G2" t="n">
        <v>2.1696</v>
      </c>
      <c r="H2" t="n">
        <v>1.5559</v>
      </c>
      <c r="I2" t="inlineStr">
        <is>
          <t>HexaCl</t>
        </is>
      </c>
      <c r="K2" t="n">
        <v>2.0662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2.427</v>
      </c>
      <c r="B3" t="n">
        <v>-4.4228</v>
      </c>
      <c r="C3" t="inlineStr">
        <is>
          <t>1,4-DiBr</t>
        </is>
      </c>
      <c r="D3" t="n">
        <v>0.1167</v>
      </c>
      <c r="G3" t="n">
        <v>2.1222</v>
      </c>
      <c r="H3" t="n">
        <v>-1.6198</v>
      </c>
      <c r="I3" t="inlineStr">
        <is>
          <t>PentaCl</t>
        </is>
      </c>
      <c r="K3" t="n">
        <v>1.9143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2.2403</v>
      </c>
      <c r="B4" t="n">
        <v>-3.4143</v>
      </c>
      <c r="C4" t="inlineStr">
        <is>
          <t>1,3-DiBr</t>
        </is>
      </c>
      <c r="D4" t="n">
        <v>0.09420000000000001</v>
      </c>
      <c r="G4" t="n">
        <v>3.0294</v>
      </c>
      <c r="H4" t="n">
        <v>-1.22</v>
      </c>
      <c r="I4" t="inlineStr">
        <is>
          <t>1,2,4,5-TetraCl</t>
        </is>
      </c>
    </row>
    <row r="5">
      <c r="A5" t="n">
        <v>2.2202</v>
      </c>
      <c r="B5" t="n">
        <v>-0.5978</v>
      </c>
      <c r="C5" t="inlineStr">
        <is>
          <t>1,2,4-TriBr</t>
        </is>
      </c>
      <c r="D5" t="n">
        <v>0.1491</v>
      </c>
      <c r="G5" t="n">
        <v>2.233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2.1902</v>
      </c>
      <c r="B6" t="n">
        <v>-0.1054</v>
      </c>
      <c r="C6" t="inlineStr">
        <is>
          <t>1,3,5-TriBr</t>
        </is>
      </c>
      <c r="D6" t="n">
        <v>0.1667</v>
      </c>
      <c r="G6" t="n">
        <v>3.0384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2.0588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1.3208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0.44,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max_dr_CX_RA_A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max_dr_CX_RA_A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max_dr_CX_RA_A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1.0136</v>
      </c>
      <c r="B2" t="n">
        <v>-6.2146</v>
      </c>
      <c r="C2" t="inlineStr">
        <is>
          <t>MonoBr</t>
        </is>
      </c>
      <c r="D2" t="n">
        <v>0.105</v>
      </c>
      <c r="G2" t="n">
        <v>0.0532</v>
      </c>
      <c r="H2" t="n">
        <v>1.5559</v>
      </c>
      <c r="I2" t="inlineStr">
        <is>
          <t>HexaCl</t>
        </is>
      </c>
      <c r="K2" t="n">
        <v>0.0103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0.0234</v>
      </c>
      <c r="B3" t="n">
        <v>-4.4228</v>
      </c>
      <c r="C3" t="inlineStr">
        <is>
          <t>1,4-DiBr</t>
        </is>
      </c>
      <c r="D3" t="n">
        <v>0.1167</v>
      </c>
      <c r="G3" t="n">
        <v>0.5429</v>
      </c>
      <c r="H3" t="n">
        <v>-1.6198</v>
      </c>
      <c r="I3" t="inlineStr">
        <is>
          <t>PentaCl</t>
        </is>
      </c>
      <c r="K3" t="n">
        <v>0.7017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0.0336</v>
      </c>
      <c r="B4" t="n">
        <v>-3.4143</v>
      </c>
      <c r="C4" t="inlineStr">
        <is>
          <t>1,3-DiBr</t>
        </is>
      </c>
      <c r="D4" t="n">
        <v>0.09420000000000001</v>
      </c>
      <c r="G4" t="n">
        <v>0.0483</v>
      </c>
      <c r="H4" t="n">
        <v>-1.22</v>
      </c>
      <c r="I4" t="inlineStr">
        <is>
          <t>1,2,4,5-TetraCl</t>
        </is>
      </c>
    </row>
    <row r="5">
      <c r="A5" t="n">
        <v>0.6785</v>
      </c>
      <c r="B5" t="n">
        <v>-0.5978</v>
      </c>
      <c r="C5" t="inlineStr">
        <is>
          <t>1,2,4-TriBr</t>
        </is>
      </c>
      <c r="D5" t="n">
        <v>0.1491</v>
      </c>
      <c r="G5" t="n">
        <v>0.7839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0.7074</v>
      </c>
      <c r="B6" t="n">
        <v>-0.1054</v>
      </c>
      <c r="C6" t="inlineStr">
        <is>
          <t>1,3,5-TriBr</t>
        </is>
      </c>
      <c r="D6" t="n">
        <v>0.1667</v>
      </c>
      <c r="G6" t="n">
        <v>0.0516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0.0172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0.0665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0.11,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max_fplus_CX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max_fplus_CX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max_fplus_CX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0.0911</v>
      </c>
      <c r="B2" t="n">
        <v>-6.2146</v>
      </c>
      <c r="C2" t="inlineStr">
        <is>
          <t>MonoBr</t>
        </is>
      </c>
      <c r="D2" t="n">
        <v>0.105</v>
      </c>
      <c r="G2" t="n">
        <v>0.2309</v>
      </c>
      <c r="H2" t="n">
        <v>1.5559</v>
      </c>
      <c r="I2" t="inlineStr">
        <is>
          <t>HexaCl</t>
        </is>
      </c>
      <c r="K2" t="n">
        <v>0.1005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0.3699</v>
      </c>
      <c r="B3" t="n">
        <v>-4.4228</v>
      </c>
      <c r="C3" t="inlineStr">
        <is>
          <t>1,4-DiBr</t>
        </is>
      </c>
      <c r="D3" t="n">
        <v>0.1167</v>
      </c>
      <c r="G3" t="n">
        <v>0.2358</v>
      </c>
      <c r="H3" t="n">
        <v>-1.6198</v>
      </c>
      <c r="I3" t="inlineStr">
        <is>
          <t>PentaCl</t>
        </is>
      </c>
      <c r="K3" t="n">
        <v>0.1321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0.1425</v>
      </c>
      <c r="B4" t="n">
        <v>-3.4143</v>
      </c>
      <c r="C4" t="inlineStr">
        <is>
          <t>1,3-DiBr</t>
        </is>
      </c>
      <c r="D4" t="n">
        <v>0.09420000000000001</v>
      </c>
      <c r="G4" t="n">
        <v>0.1501</v>
      </c>
      <c r="H4" t="n">
        <v>-1.22</v>
      </c>
      <c r="I4" t="inlineStr">
        <is>
          <t>1,2,4,5-TetraCl</t>
        </is>
      </c>
    </row>
    <row r="5">
      <c r="A5" t="n">
        <v>0.2598</v>
      </c>
      <c r="B5" t="n">
        <v>-0.5978</v>
      </c>
      <c r="C5" t="inlineStr">
        <is>
          <t>1,2,4-TriBr</t>
        </is>
      </c>
      <c r="D5" t="n">
        <v>0.1491</v>
      </c>
      <c r="G5" t="n">
        <v>0.1588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0.1441</v>
      </c>
      <c r="B6" t="n">
        <v>-0.1054</v>
      </c>
      <c r="C6" t="inlineStr">
        <is>
          <t>1,3,5-TriBr</t>
        </is>
      </c>
      <c r="D6" t="n">
        <v>0.1667</v>
      </c>
      <c r="G6" t="n">
        <v>0.1423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0.1556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0.1667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gas phase.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0.01,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min_dG_rad_red_kcal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min_dG_rad_red_kcal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min_dG_rad_red_kcal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-84.92</v>
      </c>
      <c r="B2" t="n">
        <v>-6.2146</v>
      </c>
      <c r="C2" t="inlineStr">
        <is>
          <t>MonoBr</t>
        </is>
      </c>
      <c r="D2" t="n">
        <v>0.105</v>
      </c>
      <c r="G2" t="n">
        <v>-114.54</v>
      </c>
      <c r="H2" t="n">
        <v>1.5559</v>
      </c>
      <c r="I2" t="inlineStr">
        <is>
          <t>HexaCl</t>
        </is>
      </c>
      <c r="K2" t="n">
        <v>-101.22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-88.37</v>
      </c>
      <c r="B3" t="n">
        <v>-4.4228</v>
      </c>
      <c r="C3" t="inlineStr">
        <is>
          <t>1,4-DiBr</t>
        </is>
      </c>
      <c r="D3" t="n">
        <v>0.1167</v>
      </c>
      <c r="G3" t="n">
        <v>-112.43</v>
      </c>
      <c r="H3" t="n">
        <v>-1.6198</v>
      </c>
      <c r="I3" t="inlineStr">
        <is>
          <t>PentaCl</t>
        </is>
      </c>
      <c r="K3" t="n">
        <v>-108.56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-89.42</v>
      </c>
      <c r="B4" t="n">
        <v>-3.4143</v>
      </c>
      <c r="C4" t="inlineStr">
        <is>
          <t>1,3-DiBr</t>
        </is>
      </c>
      <c r="D4" t="n">
        <v>0.09420000000000001</v>
      </c>
      <c r="G4" t="n">
        <v>-102.48</v>
      </c>
      <c r="H4" t="n">
        <v>-1.22</v>
      </c>
      <c r="I4" t="inlineStr">
        <is>
          <t>1,2,4,5-TetraCl</t>
        </is>
      </c>
    </row>
    <row r="5">
      <c r="A5" t="n">
        <v>-98.09999999999999</v>
      </c>
      <c r="B5" t="n">
        <v>-0.5978</v>
      </c>
      <c r="C5" t="inlineStr">
        <is>
          <t>1,2,4-TriBr</t>
        </is>
      </c>
      <c r="D5" t="n">
        <v>0.1491</v>
      </c>
      <c r="G5" t="n">
        <v>-95.61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-94.37</v>
      </c>
      <c r="B6" t="n">
        <v>-0.1054</v>
      </c>
      <c r="C6" t="inlineStr">
        <is>
          <t>1,3,5-TriBr</t>
        </is>
      </c>
      <c r="D6" t="n">
        <v>0.1667</v>
      </c>
      <c r="G6" t="n">
        <v>-88.27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-101.19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-110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min_wiberg_CX_parent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min_wiberg_CX_parent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min_wiberg_CX_parent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1.0326</v>
      </c>
      <c r="B2" t="n">
        <v>-6.2146</v>
      </c>
      <c r="C2" t="inlineStr">
        <is>
          <t>MonoBr</t>
        </is>
      </c>
      <c r="D2" t="n">
        <v>0.105</v>
      </c>
      <c r="G2" t="n">
        <v>1.0858</v>
      </c>
      <c r="H2" t="n">
        <v>1.5559</v>
      </c>
      <c r="I2" t="inlineStr">
        <is>
          <t>HexaCl</t>
        </is>
      </c>
      <c r="K2" t="n">
        <v>1.0374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1.0385</v>
      </c>
      <c r="B3" t="n">
        <v>-4.4228</v>
      </c>
      <c r="C3" t="inlineStr">
        <is>
          <t>1,4-DiBr</t>
        </is>
      </c>
      <c r="D3" t="n">
        <v>0.1167</v>
      </c>
      <c r="G3" t="n">
        <v>1.0752</v>
      </c>
      <c r="H3" t="n">
        <v>-1.6198</v>
      </c>
      <c r="I3" t="inlineStr">
        <is>
          <t>PentaCl</t>
        </is>
      </c>
      <c r="K3" t="n">
        <v>1.0422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1.0397</v>
      </c>
      <c r="B4" t="n">
        <v>-3.4143</v>
      </c>
      <c r="C4" t="inlineStr">
        <is>
          <t>1,3-DiBr</t>
        </is>
      </c>
      <c r="D4" t="n">
        <v>0.09420000000000001</v>
      </c>
      <c r="G4" t="n">
        <v>1.07</v>
      </c>
      <c r="H4" t="n">
        <v>-1.22</v>
      </c>
      <c r="I4" t="inlineStr">
        <is>
          <t>1,2,4,5-TetraCl</t>
        </is>
      </c>
    </row>
    <row r="5">
      <c r="A5" t="n">
        <v>1.0447</v>
      </c>
      <c r="B5" t="n">
        <v>-0.5978</v>
      </c>
      <c r="C5" t="inlineStr">
        <is>
          <t>1,2,4-TriBr</t>
        </is>
      </c>
      <c r="D5" t="n">
        <v>0.1491</v>
      </c>
      <c r="G5" t="n">
        <v>1.0577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1.047</v>
      </c>
      <c r="B6" t="n">
        <v>-0.1054</v>
      </c>
      <c r="C6" t="inlineStr">
        <is>
          <t>1,3,5-TriBr</t>
        </is>
      </c>
      <c r="D6" t="n">
        <v>0.1667</v>
      </c>
      <c r="G6" t="n">
        <v>1.0475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1.0553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1.0656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0.88,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n_X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n_X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n_X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1</v>
      </c>
      <c r="B2" t="n">
        <v>-6.2146</v>
      </c>
      <c r="C2" t="inlineStr">
        <is>
          <t>MonoBr</t>
        </is>
      </c>
      <c r="D2" t="n">
        <v>0.105</v>
      </c>
      <c r="G2" t="n">
        <v>6</v>
      </c>
      <c r="H2" t="n">
        <v>1.5559</v>
      </c>
      <c r="I2" t="inlineStr">
        <is>
          <t>HexaCl</t>
        </is>
      </c>
      <c r="K2" t="n">
        <v>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</v>
      </c>
      <c r="B3" t="n">
        <v>-4.4228</v>
      </c>
      <c r="C3" t="inlineStr">
        <is>
          <t>1,4-DiBr</t>
        </is>
      </c>
      <c r="D3" t="n">
        <v>0.1167</v>
      </c>
      <c r="G3" t="n">
        <v>5</v>
      </c>
      <c r="H3" t="n">
        <v>-1.6198</v>
      </c>
      <c r="I3" t="inlineStr">
        <is>
          <t>PentaCl</t>
        </is>
      </c>
      <c r="K3" t="n">
        <v>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</v>
      </c>
      <c r="B4" t="n">
        <v>-3.4143</v>
      </c>
      <c r="C4" t="inlineStr">
        <is>
          <t>1,3-DiBr</t>
        </is>
      </c>
      <c r="D4" t="n">
        <v>0.09420000000000001</v>
      </c>
      <c r="G4" t="n">
        <v>4</v>
      </c>
      <c r="H4" t="n">
        <v>-1.22</v>
      </c>
      <c r="I4" t="inlineStr">
        <is>
          <t>1,2,4,5-TetraCl</t>
        </is>
      </c>
    </row>
    <row r="5">
      <c r="A5" t="n">
        <v>3</v>
      </c>
      <c r="B5" t="n">
        <v>-0.5978</v>
      </c>
      <c r="C5" t="inlineStr">
        <is>
          <t>1,2,4-TriBr</t>
        </is>
      </c>
      <c r="D5" t="n">
        <v>0.1491</v>
      </c>
      <c r="G5" t="n">
        <v>2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3</v>
      </c>
      <c r="B6" t="n">
        <v>-0.1054</v>
      </c>
      <c r="C6" t="inlineStr">
        <is>
          <t>1,3,5-TriBr</t>
        </is>
      </c>
      <c r="D6" t="n">
        <v>0.1667</v>
      </c>
      <c r="G6" t="n">
        <v>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4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6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min_dG_2e_carbanion_kcal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min_dG_2e_carbanion_kcal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min_dG_2e_carbanion_kcal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-143.45</v>
      </c>
      <c r="B2" t="n">
        <v>-6.2146</v>
      </c>
      <c r="C2" t="inlineStr">
        <is>
          <t>MonoBr</t>
        </is>
      </c>
      <c r="D2" t="n">
        <v>0.105</v>
      </c>
      <c r="G2" t="n">
        <v>-180.17</v>
      </c>
      <c r="H2" t="n">
        <v>1.5559</v>
      </c>
      <c r="I2" t="inlineStr">
        <is>
          <t>HexaCl</t>
        </is>
      </c>
      <c r="K2" t="n">
        <v>-162.15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-147.54</v>
      </c>
      <c r="B3" t="n">
        <v>-4.4228</v>
      </c>
      <c r="C3" t="inlineStr">
        <is>
          <t>1,4-DiBr</t>
        </is>
      </c>
      <c r="D3" t="n">
        <v>0.1167</v>
      </c>
      <c r="G3" t="n">
        <v>-177.44</v>
      </c>
      <c r="H3" t="n">
        <v>-1.6198</v>
      </c>
      <c r="I3" t="inlineStr">
        <is>
          <t>PentaCl</t>
        </is>
      </c>
      <c r="K3" t="n">
        <v>-168.45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-149.49</v>
      </c>
      <c r="B4" t="n">
        <v>-3.4143</v>
      </c>
      <c r="C4" t="inlineStr">
        <is>
          <t>1,3-DiBr</t>
        </is>
      </c>
      <c r="D4" t="n">
        <v>0.09420000000000001</v>
      </c>
      <c r="G4" t="n">
        <v>-166.28</v>
      </c>
      <c r="H4" t="n">
        <v>-1.22</v>
      </c>
      <c r="I4" t="inlineStr">
        <is>
          <t>1,2,4,5-TetraCl</t>
        </is>
      </c>
    </row>
    <row r="5">
      <c r="A5" t="n">
        <v>-159.44</v>
      </c>
      <c r="B5" t="n">
        <v>-0.5978</v>
      </c>
      <c r="C5" t="inlineStr">
        <is>
          <t>1,2,4-TriBr</t>
        </is>
      </c>
      <c r="D5" t="n">
        <v>0.1491</v>
      </c>
      <c r="G5" t="n">
        <v>-158.44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-154.81</v>
      </c>
      <c r="B6" t="n">
        <v>-0.1054</v>
      </c>
      <c r="C6" t="inlineStr">
        <is>
          <t>1,3,5-TriBr</t>
        </is>
      </c>
      <c r="D6" t="n">
        <v>0.1667</v>
      </c>
      <c r="G6" t="n">
        <v>-150.05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-163.23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-176.96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0.86,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min_dG0_act_concerted_kcal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min_dG0_act_concerted_kcal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min_dG0_act_concerted_kcal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27.21</v>
      </c>
      <c r="B2" t="n">
        <v>-6.2146</v>
      </c>
      <c r="C2" t="inlineStr">
        <is>
          <t>MonoBr</t>
        </is>
      </c>
      <c r="D2" t="n">
        <v>0.105</v>
      </c>
      <c r="G2" t="n">
        <v>29.54</v>
      </c>
      <c r="H2" t="n">
        <v>1.5559</v>
      </c>
      <c r="I2" t="inlineStr">
        <is>
          <t>HexaCl</t>
        </is>
      </c>
      <c r="K2" t="n">
        <v>24.82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26.73</v>
      </c>
      <c r="B3" t="n">
        <v>-4.4228</v>
      </c>
      <c r="C3" t="inlineStr">
        <is>
          <t>1,4-DiBr</t>
        </is>
      </c>
      <c r="D3" t="n">
        <v>0.1167</v>
      </c>
      <c r="G3" t="n">
        <v>29.79</v>
      </c>
      <c r="H3" t="n">
        <v>-1.6198</v>
      </c>
      <c r="I3" t="inlineStr">
        <is>
          <t>PentaCl</t>
        </is>
      </c>
      <c r="K3" t="n">
        <v>24.54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26.53</v>
      </c>
      <c r="B4" t="n">
        <v>-3.4143</v>
      </c>
      <c r="C4" t="inlineStr">
        <is>
          <t>1,3-DiBr</t>
        </is>
      </c>
      <c r="D4" t="n">
        <v>0.09420000000000001</v>
      </c>
      <c r="G4" t="n">
        <v>30.47</v>
      </c>
      <c r="H4" t="n">
        <v>-1.22</v>
      </c>
      <c r="I4" t="inlineStr">
        <is>
          <t>1,2,4,5-TetraCl</t>
        </is>
      </c>
    </row>
    <row r="5">
      <c r="A5" t="n">
        <v>25.79</v>
      </c>
      <c r="B5" t="n">
        <v>-0.5978</v>
      </c>
      <c r="C5" t="inlineStr">
        <is>
          <t>1,2,4-TriBr</t>
        </is>
      </c>
      <c r="D5" t="n">
        <v>0.1491</v>
      </c>
      <c r="G5" t="n">
        <v>31.15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25.98</v>
      </c>
      <c r="B6" t="n">
        <v>-0.1054</v>
      </c>
      <c r="C6" t="inlineStr">
        <is>
          <t>1,3,5-TriBr</t>
        </is>
      </c>
      <c r="D6" t="n">
        <v>0.1667</v>
      </c>
      <c r="G6" t="n">
        <v>31.38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25.53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23.84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VEA_eV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VEA_eV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VEA_eV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0.995</v>
      </c>
      <c r="B2" t="n">
        <v>-6.2146</v>
      </c>
      <c r="C2" t="inlineStr">
        <is>
          <t>MonoBr</t>
        </is>
      </c>
      <c r="D2" t="n">
        <v>0.105</v>
      </c>
      <c r="G2" t="n">
        <v>1.901</v>
      </c>
      <c r="H2" t="n">
        <v>1.5559</v>
      </c>
      <c r="I2" t="inlineStr">
        <is>
          <t>HexaCl</t>
        </is>
      </c>
      <c r="K2" t="n">
        <v>1.353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1.228</v>
      </c>
      <c r="B3" t="n">
        <v>-4.4228</v>
      </c>
      <c r="C3" t="inlineStr">
        <is>
          <t>1,4-DiBr</t>
        </is>
      </c>
      <c r="D3" t="n">
        <v>0.1167</v>
      </c>
      <c r="G3" t="n">
        <v>1.782</v>
      </c>
      <c r="H3" t="n">
        <v>-1.6198</v>
      </c>
      <c r="I3" t="inlineStr">
        <is>
          <t>PentaCl</t>
        </is>
      </c>
      <c r="K3" t="n">
        <v>1.48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1.243</v>
      </c>
      <c r="B4" t="n">
        <v>-3.4143</v>
      </c>
      <c r="C4" t="inlineStr">
        <is>
          <t>1,3-DiBr</t>
        </is>
      </c>
      <c r="D4" t="n">
        <v>0.09420000000000001</v>
      </c>
      <c r="G4" t="n">
        <v>1.664</v>
      </c>
      <c r="H4" t="n">
        <v>-1.22</v>
      </c>
      <c r="I4" t="inlineStr">
        <is>
          <t>1,2,4,5-TetraCl</t>
        </is>
      </c>
    </row>
    <row r="5">
      <c r="A5" t="n">
        <v>1.456</v>
      </c>
      <c r="B5" t="n">
        <v>-0.5978</v>
      </c>
      <c r="C5" t="inlineStr">
        <is>
          <t>1,2,4-TriBr</t>
        </is>
      </c>
      <c r="D5" t="n">
        <v>0.1491</v>
      </c>
      <c r="G5" t="n">
        <v>1.21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1.477</v>
      </c>
      <c r="B6" t="n">
        <v>-0.1054</v>
      </c>
      <c r="C6" t="inlineStr">
        <is>
          <t>1,3,5-TriBr</t>
        </is>
      </c>
      <c r="D6" t="n">
        <v>0.1667</v>
      </c>
      <c r="G6" t="n">
        <v>1.249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1.69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2.265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min_dG_2e_HDH_kcal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min_dG_2e_HDH_kcal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min_dG_2e_HDH_kcal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-208.14</v>
      </c>
      <c r="B2" t="n">
        <v>-6.2146</v>
      </c>
      <c r="C2" t="inlineStr">
        <is>
          <t>MonoBr</t>
        </is>
      </c>
      <c r="D2" t="n">
        <v>0.105</v>
      </c>
      <c r="G2" t="n">
        <v>-220</v>
      </c>
      <c r="H2" t="n">
        <v>1.5559</v>
      </c>
      <c r="I2" t="inlineStr">
        <is>
          <t>HexaCl</t>
        </is>
      </c>
      <c r="K2" t="n">
        <v>-212.25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-210.15</v>
      </c>
      <c r="B3" t="n">
        <v>-4.4228</v>
      </c>
      <c r="C3" t="inlineStr">
        <is>
          <t>1,4-DiBr</t>
        </is>
      </c>
      <c r="D3" t="n">
        <v>0.1167</v>
      </c>
      <c r="G3" t="n">
        <v>-218.52</v>
      </c>
      <c r="H3" t="n">
        <v>-1.6198</v>
      </c>
      <c r="I3" t="inlineStr">
        <is>
          <t>PentaCl</t>
        </is>
      </c>
      <c r="K3" t="n">
        <v>-212.98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-210.21</v>
      </c>
      <c r="B4" t="n">
        <v>-3.4143</v>
      </c>
      <c r="C4" t="inlineStr">
        <is>
          <t>1,3-DiBr</t>
        </is>
      </c>
      <c r="D4" t="n">
        <v>0.09420000000000001</v>
      </c>
      <c r="G4" t="n">
        <v>-217.06</v>
      </c>
      <c r="H4" t="n">
        <v>-1.22</v>
      </c>
      <c r="I4" t="inlineStr">
        <is>
          <t>1,2,4,5-TetraCl</t>
        </is>
      </c>
    </row>
    <row r="5">
      <c r="A5" t="n">
        <v>-212.51</v>
      </c>
      <c r="B5" t="n">
        <v>-0.5978</v>
      </c>
      <c r="C5" t="inlineStr">
        <is>
          <t>1,2,4-TriBr</t>
        </is>
      </c>
      <c r="D5" t="n">
        <v>0.1491</v>
      </c>
      <c r="G5" t="n">
        <v>-214.38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-211.53</v>
      </c>
      <c r="B6" t="n">
        <v>-0.1054</v>
      </c>
      <c r="C6" t="inlineStr">
        <is>
          <t>1,3,5-TriBr</t>
        </is>
      </c>
      <c r="D6" t="n">
        <v>0.1667</v>
      </c>
      <c r="G6" t="n">
        <v>-212.81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-214.59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-218.95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eff_dG_act_concerted_kcal @ -2.00 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eff_dG_act_concerted_kcal @ -2.00 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eff_dG_act_concerted_kcal @ -2.00 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24.32</v>
      </c>
      <c r="B2" t="n">
        <v>-6.2146</v>
      </c>
      <c r="C2" t="inlineStr">
        <is>
          <t>MonoBr</t>
        </is>
      </c>
      <c r="D2" t="n">
        <v>0.105</v>
      </c>
      <c r="G2" t="n">
        <v>22.32841</v>
      </c>
      <c r="H2" t="n">
        <v>1.5559</v>
      </c>
      <c r="I2" t="inlineStr">
        <is>
          <t>HexaCl</t>
        </is>
      </c>
      <c r="K2" t="n">
        <v>20.29653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23.12932</v>
      </c>
      <c r="B3" t="n">
        <v>-4.4228</v>
      </c>
      <c r="C3" t="inlineStr">
        <is>
          <t>1,4-DiBr</t>
        </is>
      </c>
      <c r="D3" t="n">
        <v>0.1167</v>
      </c>
      <c r="G3" t="n">
        <v>23.30434</v>
      </c>
      <c r="H3" t="n">
        <v>-1.6198</v>
      </c>
      <c r="I3" t="inlineStr">
        <is>
          <t>PentaCl</t>
        </is>
      </c>
      <c r="K3" t="n">
        <v>20.17854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22.51932</v>
      </c>
      <c r="B4" t="n">
        <v>-3.4143</v>
      </c>
      <c r="C4" t="inlineStr">
        <is>
          <t>1,3-DiBr</t>
        </is>
      </c>
      <c r="D4" t="n">
        <v>0.09420000000000001</v>
      </c>
      <c r="G4" t="n">
        <v>24.30864</v>
      </c>
      <c r="H4" t="n">
        <v>-1.22</v>
      </c>
      <c r="I4" t="inlineStr">
        <is>
          <t>1,2,4,5-TetraCl</t>
        </is>
      </c>
    </row>
    <row r="5">
      <c r="A5" t="n">
        <v>21.28974</v>
      </c>
      <c r="B5" t="n">
        <v>-0.5978</v>
      </c>
      <c r="C5" t="inlineStr">
        <is>
          <t>1,2,4-TriBr</t>
        </is>
      </c>
      <c r="D5" t="n">
        <v>0.1491</v>
      </c>
      <c r="G5" t="n">
        <v>25.83932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21.55909</v>
      </c>
      <c r="B6" t="n">
        <v>-0.1054</v>
      </c>
      <c r="C6" t="inlineStr">
        <is>
          <t>1,3,5-TriBr</t>
        </is>
      </c>
      <c r="D6" t="n">
        <v>0.1667</v>
      </c>
      <c r="G6" t="n">
        <v>26.53932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20.19864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16.13841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eff_dG_act_combined_kcal @ -2.00 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eff_dG_act_combined_kcal @ -2.00 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eff_dG_act_combined_kcal @ -2.00 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24.32</v>
      </c>
      <c r="B2" t="n">
        <v>-6.2146</v>
      </c>
      <c r="C2" t="inlineStr">
        <is>
          <t>MonoBr</t>
        </is>
      </c>
      <c r="D2" t="n">
        <v>0.105</v>
      </c>
      <c r="G2" t="n">
        <v>22.32841</v>
      </c>
      <c r="H2" t="n">
        <v>1.5559</v>
      </c>
      <c r="I2" t="inlineStr">
        <is>
          <t>HexaCl</t>
        </is>
      </c>
      <c r="K2" t="n">
        <v>20.29653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23.12932</v>
      </c>
      <c r="B3" t="n">
        <v>-4.4228</v>
      </c>
      <c r="C3" t="inlineStr">
        <is>
          <t>1,4-DiBr</t>
        </is>
      </c>
      <c r="D3" t="n">
        <v>0.1167</v>
      </c>
      <c r="G3" t="n">
        <v>23.30434</v>
      </c>
      <c r="H3" t="n">
        <v>-1.6198</v>
      </c>
      <c r="I3" t="inlineStr">
        <is>
          <t>PentaCl</t>
        </is>
      </c>
      <c r="K3" t="n">
        <v>20.17854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22.51932</v>
      </c>
      <c r="B4" t="n">
        <v>-3.4143</v>
      </c>
      <c r="C4" t="inlineStr">
        <is>
          <t>1,3-DiBr</t>
        </is>
      </c>
      <c r="D4" t="n">
        <v>0.09420000000000001</v>
      </c>
      <c r="G4" t="n">
        <v>24.30864</v>
      </c>
      <c r="H4" t="n">
        <v>-1.22</v>
      </c>
      <c r="I4" t="inlineStr">
        <is>
          <t>1,2,4,5-TetraCl</t>
        </is>
      </c>
    </row>
    <row r="5">
      <c r="A5" t="n">
        <v>21.28974</v>
      </c>
      <c r="B5" t="n">
        <v>-0.5978</v>
      </c>
      <c r="C5" t="inlineStr">
        <is>
          <t>1,2,4-TriBr</t>
        </is>
      </c>
      <c r="D5" t="n">
        <v>0.1491</v>
      </c>
      <c r="G5" t="n">
        <v>25.83932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21.55909</v>
      </c>
      <c r="B6" t="n">
        <v>-0.1054</v>
      </c>
      <c r="C6" t="inlineStr">
        <is>
          <t>1,3,5-TriBr</t>
        </is>
      </c>
      <c r="D6" t="n">
        <v>0.1667</v>
      </c>
      <c r="G6" t="n">
        <v>26.53932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20.19864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16.13841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omega_dSCF_eV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omega_dSCF_eV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omega_dSCF_eV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1.339</v>
      </c>
      <c r="B2" t="n">
        <v>-6.2146</v>
      </c>
      <c r="C2" t="inlineStr">
        <is>
          <t>MonoBr</t>
        </is>
      </c>
      <c r="D2" t="n">
        <v>0.105</v>
      </c>
      <c r="G2" t="n">
        <v>1.982</v>
      </c>
      <c r="H2" t="n">
        <v>1.5559</v>
      </c>
      <c r="I2" t="inlineStr">
        <is>
          <t>HexaCl</t>
        </is>
      </c>
      <c r="K2" t="n">
        <v>1.537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1.48</v>
      </c>
      <c r="B3" t="n">
        <v>-4.4228</v>
      </c>
      <c r="C3" t="inlineStr">
        <is>
          <t>1,4-DiBr</t>
        </is>
      </c>
      <c r="D3" t="n">
        <v>0.1167</v>
      </c>
      <c r="G3" t="n">
        <v>1.881</v>
      </c>
      <c r="H3" t="n">
        <v>-1.6198</v>
      </c>
      <c r="I3" t="inlineStr">
        <is>
          <t>PentaCl</t>
        </is>
      </c>
      <c r="K3" t="n">
        <v>1.636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1.503</v>
      </c>
      <c r="B4" t="n">
        <v>-3.4143</v>
      </c>
      <c r="C4" t="inlineStr">
        <is>
          <t>1,3-DiBr</t>
        </is>
      </c>
      <c r="D4" t="n">
        <v>0.09420000000000001</v>
      </c>
      <c r="G4" t="n">
        <v>1.783</v>
      </c>
      <c r="H4" t="n">
        <v>-1.22</v>
      </c>
      <c r="I4" t="inlineStr">
        <is>
          <t>1,2,4,5-TetraCl</t>
        </is>
      </c>
    </row>
    <row r="5">
      <c r="A5" t="n">
        <v>1.641</v>
      </c>
      <c r="B5" t="n">
        <v>-0.5978</v>
      </c>
      <c r="C5" t="inlineStr">
        <is>
          <t>1,2,4-TriBr</t>
        </is>
      </c>
      <c r="D5" t="n">
        <v>0.1491</v>
      </c>
      <c r="G5" t="n">
        <v>1.474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1.678</v>
      </c>
      <c r="B6" t="n">
        <v>-0.1054</v>
      </c>
      <c r="C6" t="inlineStr">
        <is>
          <t>1,3,5-TriBr</t>
        </is>
      </c>
      <c r="D6" t="n">
        <v>0.1667</v>
      </c>
      <c r="G6" t="n">
        <v>1.486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1.811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2.284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0.80,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LUMO_eV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LUMO_eV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LUMO_eV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0.108</v>
      </c>
      <c r="B2" t="n">
        <v>-6.2146</v>
      </c>
      <c r="C2" t="inlineStr">
        <is>
          <t>MonoBr</t>
        </is>
      </c>
      <c r="D2" t="n">
        <v>0.105</v>
      </c>
      <c r="G2" t="n">
        <v>-0.78</v>
      </c>
      <c r="H2" t="n">
        <v>1.5559</v>
      </c>
      <c r="I2" t="inlineStr">
        <is>
          <t>HexaCl</t>
        </is>
      </c>
      <c r="K2" t="n">
        <v>-0.454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-0.129</v>
      </c>
      <c r="B3" t="n">
        <v>-4.4228</v>
      </c>
      <c r="C3" t="inlineStr">
        <is>
          <t>1,4-DiBr</t>
        </is>
      </c>
      <c r="D3" t="n">
        <v>0.1167</v>
      </c>
      <c r="G3" t="n">
        <v>-0.622</v>
      </c>
      <c r="H3" t="n">
        <v>-1.6198</v>
      </c>
      <c r="I3" t="inlineStr">
        <is>
          <t>PentaCl</t>
        </is>
      </c>
      <c r="K3" t="n">
        <v>-0.613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-0.101</v>
      </c>
      <c r="B4" t="n">
        <v>-3.4143</v>
      </c>
      <c r="C4" t="inlineStr">
        <is>
          <t>1,3-DiBr</t>
        </is>
      </c>
      <c r="D4" t="n">
        <v>0.09420000000000001</v>
      </c>
      <c r="G4" t="n">
        <v>-0.47</v>
      </c>
      <c r="H4" t="n">
        <v>-1.22</v>
      </c>
      <c r="I4" t="inlineStr">
        <is>
          <t>1,2,4,5-TetraCl</t>
        </is>
      </c>
    </row>
    <row r="5">
      <c r="A5" t="n">
        <v>-0.355</v>
      </c>
      <c r="B5" t="n">
        <v>-0.5978</v>
      </c>
      <c r="C5" t="inlineStr">
        <is>
          <t>1,2,4-TriBr</t>
        </is>
      </c>
      <c r="D5" t="n">
        <v>0.1491</v>
      </c>
      <c r="G5" t="n">
        <v>0.019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-0.424</v>
      </c>
      <c r="B6" t="n">
        <v>-0.1054</v>
      </c>
      <c r="C6" t="inlineStr">
        <is>
          <t>1,3,5-TriBr</t>
        </is>
      </c>
      <c r="D6" t="n">
        <v>0.1667</v>
      </c>
      <c r="G6" t="n">
        <v>-0.014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-0.646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-1.572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0.74,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min_dG_1e_kcal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min_dG_1e_kcal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min_dG_1e_kcal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-58.53</v>
      </c>
      <c r="B2" t="n">
        <v>-6.2146</v>
      </c>
      <c r="C2" t="inlineStr">
        <is>
          <t>MonoBr</t>
        </is>
      </c>
      <c r="D2" t="n">
        <v>0.105</v>
      </c>
      <c r="G2" t="n">
        <v>-65.64</v>
      </c>
      <c r="H2" t="n">
        <v>1.5559</v>
      </c>
      <c r="I2" t="inlineStr">
        <is>
          <t>HexaCl</t>
        </is>
      </c>
      <c r="K2" t="n">
        <v>-60.93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-59.17</v>
      </c>
      <c r="B3" t="n">
        <v>-4.4228</v>
      </c>
      <c r="C3" t="inlineStr">
        <is>
          <t>1,4-DiBr</t>
        </is>
      </c>
      <c r="D3" t="n">
        <v>0.1167</v>
      </c>
      <c r="G3" t="n">
        <v>-65.01000000000001</v>
      </c>
      <c r="H3" t="n">
        <v>-1.6198</v>
      </c>
      <c r="I3" t="inlineStr">
        <is>
          <t>PentaCl</t>
        </is>
      </c>
      <c r="K3" t="n">
        <v>-60.71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-60.07</v>
      </c>
      <c r="B4" t="n">
        <v>-3.4143</v>
      </c>
      <c r="C4" t="inlineStr">
        <is>
          <t>1,3-DiBr</t>
        </is>
      </c>
      <c r="D4" t="n">
        <v>0.09420000000000001</v>
      </c>
      <c r="G4" t="n">
        <v>-63.8</v>
      </c>
      <c r="H4" t="n">
        <v>-1.22</v>
      </c>
      <c r="I4" t="inlineStr">
        <is>
          <t>1,2,4,5-TetraCl</t>
        </is>
      </c>
    </row>
    <row r="5">
      <c r="A5" t="n">
        <v>-61.34</v>
      </c>
      <c r="B5" t="n">
        <v>-0.5978</v>
      </c>
      <c r="C5" t="inlineStr">
        <is>
          <t>1,2,4-TriBr</t>
        </is>
      </c>
      <c r="D5" t="n">
        <v>0.1491</v>
      </c>
      <c r="G5" t="n">
        <v>-62.83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-60.43</v>
      </c>
      <c r="B6" t="n">
        <v>-0.1054</v>
      </c>
      <c r="C6" t="inlineStr">
        <is>
          <t>1,3,5-TriBr</t>
        </is>
      </c>
      <c r="D6" t="n">
        <v>0.1667</v>
      </c>
      <c r="G6" t="n">
        <v>-61.79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-62.05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-66.95999999999999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min_BDE_kcal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min_BDE_kcal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min_BDE_kcal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77.27</v>
      </c>
      <c r="B2" t="n">
        <v>-6.2146</v>
      </c>
      <c r="C2" t="inlineStr">
        <is>
          <t>MonoBr</t>
        </is>
      </c>
      <c r="D2" t="n">
        <v>0.105</v>
      </c>
      <c r="G2" t="n">
        <v>91.34999999999999</v>
      </c>
      <c r="H2" t="n">
        <v>1.5559</v>
      </c>
      <c r="I2" t="inlineStr">
        <is>
          <t>HexaCl</t>
        </is>
      </c>
      <c r="K2" t="n">
        <v>75.47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77.02</v>
      </c>
      <c r="B3" t="n">
        <v>-4.4228</v>
      </c>
      <c r="C3" t="inlineStr">
        <is>
          <t>1,4-DiBr</t>
        </is>
      </c>
      <c r="D3" t="n">
        <v>0.1167</v>
      </c>
      <c r="G3" t="n">
        <v>91.56999999999999</v>
      </c>
      <c r="H3" t="n">
        <v>-1.6198</v>
      </c>
      <c r="I3" t="inlineStr">
        <is>
          <t>PentaCl</t>
        </is>
      </c>
      <c r="K3" t="n">
        <v>74.88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76.25</v>
      </c>
      <c r="B4" t="n">
        <v>-3.4143</v>
      </c>
      <c r="C4" t="inlineStr">
        <is>
          <t>1,3-DiBr</t>
        </is>
      </c>
      <c r="D4" t="n">
        <v>0.09420000000000001</v>
      </c>
      <c r="G4" t="n">
        <v>93.41</v>
      </c>
      <c r="H4" t="n">
        <v>-1.22</v>
      </c>
      <c r="I4" t="inlineStr">
        <is>
          <t>1,2,4,5-TetraCl</t>
        </is>
      </c>
    </row>
    <row r="5">
      <c r="A5" t="n">
        <v>74.67</v>
      </c>
      <c r="B5" t="n">
        <v>-0.5978</v>
      </c>
      <c r="C5" t="inlineStr">
        <is>
          <t>1,2,4-TriBr</t>
        </is>
      </c>
      <c r="D5" t="n">
        <v>0.1491</v>
      </c>
      <c r="G5" t="n">
        <v>93.98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75.39</v>
      </c>
      <c r="B6" t="n">
        <v>-0.1054</v>
      </c>
      <c r="C6" t="inlineStr">
        <is>
          <t>1,3,5-TriBr</t>
        </is>
      </c>
      <c r="D6" t="n">
        <v>0.1667</v>
      </c>
      <c r="G6" t="n">
        <v>94.90000000000001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74.73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69.8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0.70,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max_fplus_CX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max_fplus_CX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max_fplus_CX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0.1078</v>
      </c>
      <c r="B2" t="n">
        <v>-6.2146</v>
      </c>
      <c r="C2" t="inlineStr">
        <is>
          <t>MonoBr</t>
        </is>
      </c>
      <c r="D2" t="n">
        <v>0.105</v>
      </c>
      <c r="G2" t="n">
        <v>0.2347</v>
      </c>
      <c r="H2" t="n">
        <v>1.5559</v>
      </c>
      <c r="I2" t="inlineStr">
        <is>
          <t>HexaCl</t>
        </is>
      </c>
      <c r="K2" t="n">
        <v>0.1289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0.1148</v>
      </c>
      <c r="B3" t="n">
        <v>-4.4228</v>
      </c>
      <c r="C3" t="inlineStr">
        <is>
          <t>1,4-DiBr</t>
        </is>
      </c>
      <c r="D3" t="n">
        <v>0.1167</v>
      </c>
      <c r="G3" t="n">
        <v>0.2327</v>
      </c>
      <c r="H3" t="n">
        <v>-1.6198</v>
      </c>
      <c r="I3" t="inlineStr">
        <is>
          <t>PentaCl</t>
        </is>
      </c>
      <c r="K3" t="n">
        <v>0.1132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0.1492</v>
      </c>
      <c r="B4" t="n">
        <v>-3.4143</v>
      </c>
      <c r="C4" t="inlineStr">
        <is>
          <t>1,3-DiBr</t>
        </is>
      </c>
      <c r="D4" t="n">
        <v>0.09420000000000001</v>
      </c>
      <c r="G4" t="n">
        <v>0.1362</v>
      </c>
      <c r="H4" t="n">
        <v>-1.22</v>
      </c>
      <c r="I4" t="inlineStr">
        <is>
          <t>1,2,4,5-TetraCl</t>
        </is>
      </c>
    </row>
    <row r="5">
      <c r="A5" t="n">
        <v>0.1495</v>
      </c>
      <c r="B5" t="n">
        <v>-0.5978</v>
      </c>
      <c r="C5" t="inlineStr">
        <is>
          <t>1,2,4-TriBr</t>
        </is>
      </c>
      <c r="D5" t="n">
        <v>0.1491</v>
      </c>
      <c r="G5" t="n">
        <v>0.1304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0.122</v>
      </c>
      <c r="B6" t="n">
        <v>-0.1054</v>
      </c>
      <c r="C6" t="inlineStr">
        <is>
          <t>1,3,5-TriBr</t>
        </is>
      </c>
      <c r="D6" t="n">
        <v>0.1667</v>
      </c>
      <c r="G6" t="n">
        <v>0.1123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0.1409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0.1666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0.53,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dG_ET_any_kcal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dG_ET_any_kcal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dG_ET_any_kcal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-57.07</v>
      </c>
      <c r="B2" t="n">
        <v>-6.2146</v>
      </c>
      <c r="C2" t="inlineStr">
        <is>
          <t>MonoBr</t>
        </is>
      </c>
      <c r="D2" t="n">
        <v>0.105</v>
      </c>
      <c r="G2" t="n">
        <v>-63.14</v>
      </c>
      <c r="H2" t="n">
        <v>1.5559</v>
      </c>
      <c r="I2" t="inlineStr">
        <is>
          <t>HexaCl</t>
        </is>
      </c>
      <c r="K2" t="n">
        <v>-58.98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-38.03</v>
      </c>
      <c r="B3" t="n">
        <v>-4.4228</v>
      </c>
      <c r="C3" t="inlineStr">
        <is>
          <t>1,4-DiBr</t>
        </is>
      </c>
      <c r="D3" t="n">
        <v>0.1167</v>
      </c>
      <c r="G3" t="n">
        <v>-65.34</v>
      </c>
      <c r="H3" t="n">
        <v>-1.6198</v>
      </c>
      <c r="I3" t="inlineStr">
        <is>
          <t>PentaCl</t>
        </is>
      </c>
      <c r="K3" t="n">
        <v>-58.32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-57.88</v>
      </c>
      <c r="B4" t="n">
        <v>-3.4143</v>
      </c>
      <c r="C4" t="inlineStr">
        <is>
          <t>1,3-DiBr</t>
        </is>
      </c>
      <c r="D4" t="n">
        <v>0.09420000000000001</v>
      </c>
      <c r="G4" t="n">
        <v>-48.54</v>
      </c>
      <c r="H4" t="n">
        <v>-1.22</v>
      </c>
      <c r="I4" t="inlineStr">
        <is>
          <t>1,2,4,5-TetraCl</t>
        </is>
      </c>
    </row>
    <row r="5">
      <c r="A5" t="n">
        <v>-60.65</v>
      </c>
      <c r="B5" t="n">
        <v>-0.5978</v>
      </c>
      <c r="C5" t="inlineStr">
        <is>
          <t>1,2,4-TriBr</t>
        </is>
      </c>
      <c r="D5" t="n">
        <v>0.1491</v>
      </c>
      <c r="G5" t="n">
        <v>-37.86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-59.76</v>
      </c>
      <c r="B6" t="n">
        <v>-0.1054</v>
      </c>
      <c r="C6" t="inlineStr">
        <is>
          <t>1,3,5-TriBr</t>
        </is>
      </c>
      <c r="D6" t="n">
        <v>0.1667</v>
      </c>
      <c r="G6" t="n">
        <v>-40.22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-63.06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-70.98999999999999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0.49,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min_dG_frag_any_kcal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min_dG_frag_any_kcal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min_dG_frag_any_kcal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-1.45</v>
      </c>
      <c r="B2" t="n">
        <v>-6.2146</v>
      </c>
      <c r="C2" t="inlineStr">
        <is>
          <t>MonoBr</t>
        </is>
      </c>
      <c r="D2" t="n">
        <v>0.105</v>
      </c>
      <c r="G2" t="n">
        <v>-2.5</v>
      </c>
      <c r="H2" t="n">
        <v>1.5559</v>
      </c>
      <c r="I2" t="inlineStr">
        <is>
          <t>HexaCl</t>
        </is>
      </c>
      <c r="K2" t="n">
        <v>-1.95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-21.14</v>
      </c>
      <c r="B3" t="n">
        <v>-4.4228</v>
      </c>
      <c r="C3" t="inlineStr">
        <is>
          <t>1,4-DiBr</t>
        </is>
      </c>
      <c r="D3" t="n">
        <v>0.1167</v>
      </c>
      <c r="G3" t="n">
        <v>0.33</v>
      </c>
      <c r="H3" t="n">
        <v>-1.6198</v>
      </c>
      <c r="I3" t="inlineStr">
        <is>
          <t>PentaCl</t>
        </is>
      </c>
      <c r="K3" t="n">
        <v>-2.39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-2.19</v>
      </c>
      <c r="B4" t="n">
        <v>-3.4143</v>
      </c>
      <c r="C4" t="inlineStr">
        <is>
          <t>1,3-DiBr</t>
        </is>
      </c>
      <c r="D4" t="n">
        <v>0.09420000000000001</v>
      </c>
      <c r="G4" t="n">
        <v>-15.26</v>
      </c>
      <c r="H4" t="n">
        <v>-1.22</v>
      </c>
      <c r="I4" t="inlineStr">
        <is>
          <t>1,2,4,5-TetraCl</t>
        </is>
      </c>
    </row>
    <row r="5">
      <c r="A5" t="n">
        <v>-0.6899999999999999</v>
      </c>
      <c r="B5" t="n">
        <v>-0.5978</v>
      </c>
      <c r="C5" t="inlineStr">
        <is>
          <t>1,2,4-TriBr</t>
        </is>
      </c>
      <c r="D5" t="n">
        <v>0.1491</v>
      </c>
      <c r="G5" t="n">
        <v>-24.97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-0.67</v>
      </c>
      <c r="B6" t="n">
        <v>-0.1054</v>
      </c>
      <c r="C6" t="inlineStr">
        <is>
          <t>1,3,5-TriBr</t>
        </is>
      </c>
      <c r="D6" t="n">
        <v>0.1667</v>
      </c>
      <c r="G6" t="n">
        <v>-21.57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1.02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4.03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0.32,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max_dr_CX_RA_A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max_dr_CX_RA_A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max_dr_CX_RA_A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2.9934</v>
      </c>
      <c r="B2" t="n">
        <v>-6.2146</v>
      </c>
      <c r="C2" t="inlineStr">
        <is>
          <t>MonoBr</t>
        </is>
      </c>
      <c r="D2" t="n">
        <v>0.105</v>
      </c>
      <c r="G2" t="n">
        <v>0.0492</v>
      </c>
      <c r="H2" t="n">
        <v>1.5559</v>
      </c>
      <c r="I2" t="inlineStr">
        <is>
          <t>HexaCl</t>
        </is>
      </c>
      <c r="K2" t="n">
        <v>1.1574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0.0447</v>
      </c>
      <c r="B3" t="n">
        <v>-4.4228</v>
      </c>
      <c r="C3" t="inlineStr">
        <is>
          <t>1,4-DiBr</t>
        </is>
      </c>
      <c r="D3" t="n">
        <v>0.1167</v>
      </c>
      <c r="G3" t="n">
        <v>0.7349</v>
      </c>
      <c r="H3" t="n">
        <v>-1.6198</v>
      </c>
      <c r="I3" t="inlineStr">
        <is>
          <t>PentaCl</t>
        </is>
      </c>
      <c r="K3" t="n">
        <v>0.7541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0.0053</v>
      </c>
      <c r="B4" t="n">
        <v>-3.4143</v>
      </c>
      <c r="C4" t="inlineStr">
        <is>
          <t>1,3-DiBr</t>
        </is>
      </c>
      <c r="D4" t="n">
        <v>0.09420000000000001</v>
      </c>
      <c r="G4" t="n">
        <v>0.0312</v>
      </c>
      <c r="H4" t="n">
        <v>-1.22</v>
      </c>
      <c r="I4" t="inlineStr">
        <is>
          <t>1,2,4,5-TetraCl</t>
        </is>
      </c>
    </row>
    <row r="5">
      <c r="A5" t="n">
        <v>0.7661</v>
      </c>
      <c r="B5" t="n">
        <v>-0.5978</v>
      </c>
      <c r="C5" t="inlineStr">
        <is>
          <t>1,2,4-TriBr</t>
        </is>
      </c>
      <c r="D5" t="n">
        <v>0.1491</v>
      </c>
      <c r="G5" t="n">
        <v>0.0196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1.0271</v>
      </c>
      <c r="B6" t="n">
        <v>-0.1054</v>
      </c>
      <c r="C6" t="inlineStr">
        <is>
          <t>1,3,5-TriBr</t>
        </is>
      </c>
      <c r="D6" t="n">
        <v>0.1667</v>
      </c>
      <c r="G6" t="n">
        <v>0.0252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0.008800000000000001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0.0138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0.31,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min_dG_RA_2e_any_kcal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min_dG_RA_2e_any_kcal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min_dG_RA_2e_any_kcal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-86.37</v>
      </c>
      <c r="B2" t="n">
        <v>-6.2146</v>
      </c>
      <c r="C2" t="inlineStr">
        <is>
          <t>MonoBr</t>
        </is>
      </c>
      <c r="D2" t="n">
        <v>0.105</v>
      </c>
      <c r="G2" t="n">
        <v>-117.03</v>
      </c>
      <c r="H2" t="n">
        <v>1.5559</v>
      </c>
      <c r="I2" t="inlineStr">
        <is>
          <t>HexaCl</t>
        </is>
      </c>
      <c r="K2" t="n">
        <v>-103.17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-109.51</v>
      </c>
      <c r="B3" t="n">
        <v>-4.4228</v>
      </c>
      <c r="C3" t="inlineStr">
        <is>
          <t>1,4-DiBr</t>
        </is>
      </c>
      <c r="D3" t="n">
        <v>0.1167</v>
      </c>
      <c r="G3" t="n">
        <v>-112.1</v>
      </c>
      <c r="H3" t="n">
        <v>-1.6198</v>
      </c>
      <c r="I3" t="inlineStr">
        <is>
          <t>PentaCl</t>
        </is>
      </c>
      <c r="K3" t="n">
        <v>-110.13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-91.61</v>
      </c>
      <c r="B4" t="n">
        <v>-3.4143</v>
      </c>
      <c r="C4" t="inlineStr">
        <is>
          <t>1,3-DiBr</t>
        </is>
      </c>
      <c r="D4" t="n">
        <v>0.09420000000000001</v>
      </c>
      <c r="G4" t="n">
        <v>-117.74</v>
      </c>
      <c r="H4" t="n">
        <v>-1.22</v>
      </c>
      <c r="I4" t="inlineStr">
        <is>
          <t>1,2,4,5-TetraCl</t>
        </is>
      </c>
    </row>
    <row r="5">
      <c r="A5" t="n">
        <v>-98.79000000000001</v>
      </c>
      <c r="B5" t="n">
        <v>-0.5978</v>
      </c>
      <c r="C5" t="inlineStr">
        <is>
          <t>1,2,4-TriBr</t>
        </is>
      </c>
      <c r="D5" t="n">
        <v>0.1491</v>
      </c>
      <c r="G5" t="n">
        <v>-120.58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-95.04000000000001</v>
      </c>
      <c r="B6" t="n">
        <v>-0.1054</v>
      </c>
      <c r="C6" t="inlineStr">
        <is>
          <t>1,3,5-TriBr</t>
        </is>
      </c>
      <c r="D6" t="n">
        <v>0.1667</v>
      </c>
      <c r="G6" t="n">
        <v>-109.84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-100.17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-105.97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0.20,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W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3" t="inlineStr">
        <is>
          <t>LUMO_RA_eV</t>
        </is>
      </c>
      <c r="B1" s="3" t="inlineStr">
        <is>
          <t>published bromobenzene data</t>
        </is>
      </c>
      <c r="C1" s="3" t="inlineStr">
        <is>
          <t>label</t>
        </is>
      </c>
      <c r="D1" s="3" t="inlineStr">
        <is>
          <t>y error</t>
        </is>
      </c>
      <c r="G1" s="3" t="inlineStr">
        <is>
          <t>LUMO_RA_eV</t>
        </is>
      </c>
      <c r="H1" s="3" t="inlineStr">
        <is>
          <t>new chlorobenzene data</t>
        </is>
      </c>
      <c r="I1" s="3" t="inlineStr">
        <is>
          <t>label</t>
        </is>
      </c>
      <c r="K1" s="3" t="inlineStr">
        <is>
          <t>LUMO_RA_eV</t>
        </is>
      </c>
      <c r="L1" s="3" t="inlineStr">
        <is>
          <t>published PBDE data</t>
        </is>
      </c>
      <c r="M1" s="3" t="inlineStr">
        <is>
          <t>label</t>
        </is>
      </c>
      <c r="N1" s="3" t="inlineStr">
        <is>
          <t>y error</t>
        </is>
      </c>
      <c r="P1" s="3" t="inlineStr">
        <is>
          <t>fit x</t>
        </is>
      </c>
      <c r="Q1" s="3" t="inlineStr">
        <is>
          <t>fit: published bromobenzene data</t>
        </is>
      </c>
    </row>
    <row r="2">
      <c r="A2" t="n">
        <v>-1.3622</v>
      </c>
      <c r="B2" t="n">
        <v>-6.2146</v>
      </c>
      <c r="C2" t="inlineStr">
        <is>
          <t>MonoBr</t>
        </is>
      </c>
      <c r="D2" t="n">
        <v>0.105</v>
      </c>
      <c r="G2" t="n">
        <v>-1.0397</v>
      </c>
      <c r="H2" t="n">
        <v>1.5559</v>
      </c>
      <c r="I2" t="inlineStr">
        <is>
          <t>HexaCl</t>
        </is>
      </c>
      <c r="K2" t="n">
        <v>-0.8188</v>
      </c>
      <c r="L2" t="n">
        <v>-2.551</v>
      </c>
      <c r="M2" t="inlineStr">
        <is>
          <t>BDE-47</t>
        </is>
      </c>
      <c r="N2" t="n">
        <v>0.2308</v>
      </c>
      <c r="P2">
        <f>MIN($A$2:$A$8)</f>
        <v/>
      </c>
      <c r="Q2">
        <f>$Q$6+$Q$5*P2</f>
        <v/>
      </c>
    </row>
    <row r="3">
      <c r="A3" t="n">
        <v>0.09470000000000001</v>
      </c>
      <c r="B3" t="n">
        <v>-4.4228</v>
      </c>
      <c r="C3" t="inlineStr">
        <is>
          <t>1,4-DiBr</t>
        </is>
      </c>
      <c r="D3" t="n">
        <v>0.1167</v>
      </c>
      <c r="G3" t="n">
        <v>-1.5758</v>
      </c>
      <c r="H3" t="n">
        <v>-1.6198</v>
      </c>
      <c r="I3" t="inlineStr">
        <is>
          <t>PentaCl</t>
        </is>
      </c>
      <c r="K3" t="n">
        <v>-1.0289</v>
      </c>
      <c r="L3" t="n">
        <v>-0.7985</v>
      </c>
      <c r="M3" t="inlineStr">
        <is>
          <t>BDE-99</t>
        </is>
      </c>
      <c r="N3" t="n">
        <v>0.1511</v>
      </c>
      <c r="P3">
        <f>MAX($A$2:$A$8)</f>
        <v/>
      </c>
      <c r="Q3">
        <f>$Q$6+$Q$5*P3</f>
        <v/>
      </c>
    </row>
    <row r="4">
      <c r="A4" t="n">
        <v>-0.9762999999999999</v>
      </c>
      <c r="B4" t="n">
        <v>-3.4143</v>
      </c>
      <c r="C4" t="inlineStr">
        <is>
          <t>1,3-DiBr</t>
        </is>
      </c>
      <c r="D4" t="n">
        <v>0.09420000000000001</v>
      </c>
      <c r="G4" t="n">
        <v>-0.0639</v>
      </c>
      <c r="H4" t="n">
        <v>-1.22</v>
      </c>
      <c r="I4" t="inlineStr">
        <is>
          <t>1,2,4,5-TetraCl</t>
        </is>
      </c>
    </row>
    <row r="5">
      <c r="A5" t="n">
        <v>-0.8757</v>
      </c>
      <c r="B5" t="n">
        <v>-0.5978</v>
      </c>
      <c r="C5" t="inlineStr">
        <is>
          <t>1,2,4-TriBr</t>
        </is>
      </c>
      <c r="D5" t="n">
        <v>0.1491</v>
      </c>
      <c r="G5" t="n">
        <v>0.1793</v>
      </c>
      <c r="H5" t="n">
        <v>-3.15</v>
      </c>
      <c r="I5" t="inlineStr">
        <is>
          <t>1,2-DiCl</t>
        </is>
      </c>
      <c r="P5" s="3" t="inlineStr">
        <is>
          <t>slope</t>
        </is>
      </c>
      <c r="Q5">
        <f>SLOPE($B$2:$B$8,$A$2:$A$8)</f>
        <v/>
      </c>
    </row>
    <row r="6">
      <c r="A6" t="n">
        <v>-0.7437</v>
      </c>
      <c r="B6" t="n">
        <v>-0.1054</v>
      </c>
      <c r="C6" t="inlineStr">
        <is>
          <t>1,3,5-TriBr</t>
        </is>
      </c>
      <c r="D6" t="n">
        <v>0.1667</v>
      </c>
      <c r="G6" t="n">
        <v>0.1467</v>
      </c>
      <c r="H6" t="n">
        <v>-7.0073</v>
      </c>
      <c r="I6" t="inlineStr">
        <is>
          <t>1,4-DiCl</t>
        </is>
      </c>
      <c r="P6" s="3" t="inlineStr">
        <is>
          <t>intercept</t>
        </is>
      </c>
      <c r="Q6">
        <f>INTERCEPT($B$2:$B$8,$A$2:$A$8)</f>
        <v/>
      </c>
    </row>
    <row r="7">
      <c r="A7" t="n">
        <v>-0.975</v>
      </c>
      <c r="B7" t="n">
        <v>0.9163</v>
      </c>
      <c r="C7" t="inlineStr">
        <is>
          <t>1,2,4,5-TetrBr</t>
        </is>
      </c>
      <c r="D7" t="n">
        <v>0.112</v>
      </c>
      <c r="P7" s="3" t="inlineStr">
        <is>
          <t>R2</t>
        </is>
      </c>
      <c r="Q7">
        <f>RSQ($B$2:$B$8,$A$2:$A$8)</f>
        <v/>
      </c>
    </row>
    <row r="8">
      <c r="A8" t="n">
        <v>-1.6485</v>
      </c>
      <c r="B8" t="n">
        <v>2.3026</v>
      </c>
      <c r="C8" t="inlineStr">
        <is>
          <t>HexaBr</t>
        </is>
      </c>
      <c r="D8" t="n">
        <v>0.13</v>
      </c>
    </row>
    <row r="17">
      <c r="S17" s="7" t="inlineStr">
        <is>
          <t>Natural logarithm of the observed pseudo-first-order rate constants (k_obs, h⁻¹) for electrochemical dehalogenation at −2.0 V vs SHE [add electrode, cell, electrolyte and pH], plotted against descriptors computed at M06-2X/6-311++G(d), SMD (water). Filled gray circles are published bromobenzene data, open circles are new chlorobenzene data and gray squares are published PBDE data. Error bars are ±1 standard error of k_obs propagated to ln k_obs (no standard errors are available for the chlorobenzenes). The dotted line is the least-squares fit to the bromobenzenes (R² = 0.11, n = 7). The other compounds are predicted by that fit. Compounds are labelled by shorthand. Fit line, slope, intercept and R² are Excel formulas (SLOPE, INTERCEPT, RSQ) over the bromobenzene cells beside the chart.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</sheetData>
  <mergeCells count="1">
    <mergeCell ref="S17:W3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2026-09-30T07:01:41Z</dcterms:created>
  <dcterms:modified xmlns:dcterms="http://purl.org/dc/terms/" xmlns:xsi="http://www.w3.org/2001/XMLSchema-instance" xsi:type="dcterms:W3CDTF">2026-09-30T07:02:12Z</dcterms:modified>
</cp:coreProperties>
</file>